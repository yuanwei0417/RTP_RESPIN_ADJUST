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uanweiyu\Downloads\"/>
    </mc:Choice>
  </mc:AlternateContent>
  <xr:revisionPtr revIDLastSave="0" documentId="13_ncr:1_{DD124FC7-262D-44B3-B4D1-5C2D3A60CE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工作表5" sheetId="6" r:id="rId1"/>
    <sheet name="工作表2" sheetId="8" r:id="rId2"/>
    <sheet name="工作表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8" l="1"/>
  <c r="I5" i="8"/>
  <c r="I6" i="8"/>
  <c r="I7" i="8"/>
  <c r="I8" i="8"/>
  <c r="I9" i="8"/>
  <c r="I11" i="8"/>
  <c r="I12" i="8"/>
  <c r="I13" i="8"/>
  <c r="I14" i="8"/>
  <c r="I15" i="8"/>
  <c r="I16" i="8"/>
  <c r="I17" i="8"/>
  <c r="I18" i="8"/>
  <c r="I19" i="8"/>
  <c r="I20" i="8"/>
  <c r="I21" i="8"/>
  <c r="I4" i="8"/>
  <c r="G4" i="8"/>
  <c r="J21" i="8"/>
  <c r="H21" i="8"/>
  <c r="G21" i="8"/>
  <c r="J20" i="8"/>
  <c r="H20" i="8"/>
  <c r="G20" i="8"/>
  <c r="H19" i="8"/>
  <c r="J19" i="8"/>
  <c r="G19" i="8"/>
  <c r="H18" i="8"/>
  <c r="J18" i="8"/>
  <c r="G18" i="8"/>
  <c r="H17" i="8"/>
  <c r="J17" i="8"/>
  <c r="G17" i="8"/>
  <c r="J16" i="8"/>
  <c r="H16" i="8"/>
  <c r="G16" i="8"/>
  <c r="H15" i="8"/>
  <c r="J15" i="8"/>
  <c r="G15" i="8"/>
  <c r="H14" i="8"/>
  <c r="J14" i="8"/>
  <c r="G14" i="8"/>
  <c r="H13" i="8"/>
  <c r="J13" i="8"/>
  <c r="G13" i="8"/>
  <c r="J12" i="8"/>
  <c r="H12" i="8"/>
  <c r="G12" i="8"/>
  <c r="H11" i="8"/>
  <c r="J11" i="8"/>
  <c r="G11" i="8"/>
  <c r="H10" i="8"/>
  <c r="J10" i="8"/>
  <c r="G10" i="8"/>
  <c r="H9" i="8"/>
  <c r="J9" i="8"/>
  <c r="G9" i="8"/>
  <c r="J8" i="8"/>
  <c r="H8" i="8"/>
  <c r="G8" i="8"/>
  <c r="H7" i="8"/>
  <c r="J7" i="8"/>
  <c r="G7" i="8"/>
  <c r="H6" i="8"/>
  <c r="J6" i="8"/>
  <c r="G6" i="8"/>
  <c r="H5" i="8"/>
  <c r="J5" i="8"/>
  <c r="G5" i="8"/>
  <c r="H4" i="8"/>
  <c r="J4" i="8"/>
  <c r="N10" i="6" a="1"/>
  <c r="N10" i="6" s="1"/>
  <c r="N5" i="6" a="1"/>
  <c r="N5" i="6" s="1"/>
  <c r="H18" i="7" a="1"/>
  <c r="H18" i="7" s="1"/>
  <c r="G18" i="7"/>
  <c r="H17" i="7" a="1"/>
  <c r="H17" i="7" s="1"/>
  <c r="G17" i="7"/>
  <c r="H16" i="7" a="1"/>
  <c r="H16" i="7" s="1"/>
  <c r="G16" i="7"/>
  <c r="H15" i="7"/>
  <c r="H15" i="7" a="1"/>
  <c r="G15" i="7"/>
  <c r="H14" i="7" a="1"/>
  <c r="H14" i="7" s="1"/>
  <c r="G14" i="7"/>
  <c r="H13" i="7" a="1"/>
  <c r="H13" i="7" s="1"/>
  <c r="G13" i="7"/>
  <c r="H12" i="7" a="1"/>
  <c r="H12" i="7" s="1"/>
  <c r="G12" i="7"/>
  <c r="H11" i="7"/>
  <c r="H11" i="7" a="1"/>
  <c r="G11" i="7"/>
  <c r="H10" i="7" a="1"/>
  <c r="H10" i="7" s="1"/>
  <c r="G10" i="7"/>
  <c r="H9" i="7" a="1"/>
  <c r="H9" i="7" s="1"/>
  <c r="G9" i="7"/>
  <c r="H8" i="7" a="1"/>
  <c r="H8" i="7" s="1"/>
  <c r="G8" i="7"/>
  <c r="H7" i="7"/>
  <c r="H7" i="7" a="1"/>
  <c r="G7" i="7"/>
  <c r="H6" i="7" a="1"/>
  <c r="H6" i="7" s="1"/>
  <c r="G6" i="7"/>
  <c r="H5" i="7" a="1"/>
  <c r="H5" i="7" s="1"/>
  <c r="G5" i="7"/>
  <c r="H4" i="7" a="1"/>
  <c r="H4" i="7" s="1"/>
  <c r="G4" i="7"/>
  <c r="H3" i="7"/>
  <c r="H3" i="7" a="1"/>
  <c r="G3" i="7"/>
  <c r="H2" i="7" a="1"/>
  <c r="H2" i="7" s="1"/>
  <c r="G2" i="7"/>
  <c r="H1" i="7" a="1"/>
  <c r="H1" i="7" s="1"/>
  <c r="H19" i="7" s="1"/>
  <c r="G1" i="7"/>
  <c r="G19" i="7" s="1"/>
  <c r="N21" i="6" a="1"/>
  <c r="N21" i="6" s="1"/>
  <c r="N4" i="6" a="1"/>
  <c r="N4" i="6" s="1"/>
  <c r="M4" i="6"/>
  <c r="L5" i="6"/>
  <c r="L6" i="6"/>
  <c r="L7" i="6"/>
  <c r="L8" i="6"/>
  <c r="O8" i="6" s="1"/>
  <c r="L9" i="6"/>
  <c r="L10" i="6"/>
  <c r="O10" i="6" s="1"/>
  <c r="L11" i="6"/>
  <c r="O11" i="6" s="1"/>
  <c r="L12" i="6"/>
  <c r="O12" i="6" s="1"/>
  <c r="L13" i="6"/>
  <c r="O13" i="6" s="1"/>
  <c r="L14" i="6"/>
  <c r="O14" i="6" s="1"/>
  <c r="L15" i="6"/>
  <c r="O15" i="6" s="1"/>
  <c r="L16" i="6"/>
  <c r="O16" i="6" s="1"/>
  <c r="L17" i="6"/>
  <c r="O17" i="6" s="1"/>
  <c r="L18" i="6"/>
  <c r="O18" i="6" s="1"/>
  <c r="L19" i="6"/>
  <c r="O19" i="6" s="1"/>
  <c r="L20" i="6"/>
  <c r="O20" i="6" s="1"/>
  <c r="O21" i="6"/>
  <c r="L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4" i="6"/>
  <c r="O7" i="6"/>
  <c r="O9" i="6"/>
  <c r="O4" i="6"/>
  <c r="O5" i="6"/>
  <c r="O6" i="6"/>
  <c r="M9" i="6"/>
  <c r="N6" i="6" a="1"/>
  <c r="N6" i="6" s="1"/>
  <c r="N7" i="6" a="1"/>
  <c r="N7" i="6" s="1"/>
  <c r="N8" i="6" a="1"/>
  <c r="N8" i="6" s="1"/>
  <c r="N9" i="6" a="1"/>
  <c r="N9" i="6" s="1"/>
  <c r="N11" i="6" a="1"/>
  <c r="N11" i="6" s="1"/>
  <c r="N12" i="6" a="1"/>
  <c r="N12" i="6" s="1"/>
  <c r="N13" i="6" a="1"/>
  <c r="N13" i="6" s="1"/>
  <c r="N14" i="6" a="1"/>
  <c r="N14" i="6" s="1"/>
  <c r="N15" i="6" a="1"/>
  <c r="N15" i="6" s="1"/>
  <c r="N16" i="6" a="1"/>
  <c r="N16" i="6" s="1"/>
  <c r="N17" i="6" a="1"/>
  <c r="N17" i="6" s="1"/>
  <c r="N18" i="6" a="1"/>
  <c r="N18" i="6" s="1"/>
  <c r="N19" i="6" a="1"/>
  <c r="N19" i="6" s="1"/>
  <c r="N20" i="6" a="1"/>
  <c r="N20" i="6" s="1"/>
  <c r="M5" i="6"/>
  <c r="M6" i="6"/>
  <c r="M7" i="6"/>
  <c r="M8" i="6"/>
  <c r="M10" i="6"/>
  <c r="M11" i="6"/>
  <c r="M12" i="6"/>
  <c r="M13" i="6"/>
  <c r="M14" i="6"/>
  <c r="M15" i="6"/>
  <c r="M16" i="6"/>
  <c r="M17" i="6"/>
  <c r="M18" i="6"/>
  <c r="M19" i="6"/>
  <c r="M20" i="6"/>
  <c r="M21" i="6"/>
  <c r="H22" i="8" l="1"/>
  <c r="J22" i="8"/>
  <c r="N4" i="8" s="1"/>
  <c r="I22" i="8"/>
  <c r="G22" i="8"/>
  <c r="G24" i="8" s="1"/>
  <c r="N22" i="6"/>
  <c r="K22" i="6"/>
  <c r="K26" i="6" s="1"/>
  <c r="L22" i="6"/>
  <c r="O22" i="6"/>
  <c r="S4" i="6" s="1"/>
  <c r="M2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<sst xmlns="http://schemas.openxmlformats.org/spreadsheetml/2006/main" count="30" uniqueCount="20">
  <si>
    <t>MinOdds(&gt;=)</t>
  </si>
  <si>
    <t>MaxOdds(&lt;)</t>
  </si>
  <si>
    <t>Weight</t>
  </si>
  <si>
    <t>平均倍率</t>
    <phoneticPr fontId="1" type="noConversion"/>
  </si>
  <si>
    <t>機率</t>
    <phoneticPr fontId="1" type="noConversion"/>
  </si>
  <si>
    <t>重轉機率</t>
    <phoneticPr fontId="1" type="noConversion"/>
  </si>
  <si>
    <t>自然機率</t>
    <phoneticPr fontId="1" type="noConversion"/>
  </si>
  <si>
    <t>理論rtp</t>
    <phoneticPr fontId="1" type="noConversion"/>
  </si>
  <si>
    <t>不重轉p</t>
    <phoneticPr fontId="1" type="noConversion"/>
  </si>
  <si>
    <t>HR</t>
    <phoneticPr fontId="1" type="noConversion"/>
  </si>
  <si>
    <t>帶入的資料</t>
    <phoneticPr fontId="1" type="noConversion"/>
  </si>
  <si>
    <t>調整的參數</t>
    <phoneticPr fontId="1" type="noConversion"/>
  </si>
  <si>
    <t>輸出</t>
    <phoneticPr fontId="1" type="noConversion"/>
  </si>
  <si>
    <t>為rtp總和，要放在理論rtp最上面顯眼的地方</t>
    <phoneticPr fontId="1" type="noConversion"/>
  </si>
  <si>
    <t>mg</t>
    <phoneticPr fontId="1" type="noConversion"/>
  </si>
  <si>
    <t>fg</t>
    <phoneticPr fontId="1" type="noConversion"/>
  </si>
  <si>
    <t>一般壓住</t>
    <phoneticPr fontId="1" type="noConversion"/>
  </si>
  <si>
    <t>額外</t>
    <phoneticPr fontId="1" type="noConversion"/>
  </si>
  <si>
    <t>最後轉換成C欄</t>
    <phoneticPr fontId="1" type="noConversion"/>
  </si>
  <si>
    <t>分母為10000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</si>
</sst>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53D8-C0A2-48B1-A362-7D050E5B014F}">
  <dimension ref="A3:S26"/>
  <sheetViews>
    <sheetView tabSelected="1" zoomScale="145" zoomScaleNormal="145" workbookViewId="0">
      <selection activeCell="J9" sqref="J9"/>
    </sheetView>
  </sheetViews>
  <sheetFormatPr defaultRowHeight="15.75" x14ac:dyDescent="0.25"/>
  <cols>
    <col min="1" max="4" width="9.140625" style="1"/>
    <col min="10" max="10" width="16" customWidth="1"/>
  </cols>
  <sheetData>
    <row r="3" spans="1:19" x14ac:dyDescent="0.25">
      <c r="A3" s="1" t="s">
        <v>0</v>
      </c>
      <c r="B3" s="1" t="s">
        <v>1</v>
      </c>
      <c r="C3" s="1" t="s">
        <v>2</v>
      </c>
      <c r="H3" t="s">
        <v>3</v>
      </c>
      <c r="I3" t="s">
        <v>4</v>
      </c>
      <c r="J3" t="s">
        <v>5</v>
      </c>
      <c r="L3" t="s">
        <v>8</v>
      </c>
      <c r="M3" t="s">
        <v>6</v>
      </c>
      <c r="N3" t="s">
        <v>7</v>
      </c>
    </row>
    <row r="4" spans="1:19" x14ac:dyDescent="0.25">
      <c r="A4" s="1">
        <v>0</v>
      </c>
      <c r="B4" s="1">
        <v>1E-3</v>
      </c>
      <c r="C4" s="1">
        <v>0</v>
      </c>
      <c r="F4" s="1">
        <v>0</v>
      </c>
      <c r="G4" s="1">
        <v>1E-3</v>
      </c>
      <c r="H4" s="3">
        <v>0</v>
      </c>
      <c r="I4" s="3">
        <v>0.67960259999999995</v>
      </c>
      <c r="J4" s="6">
        <v>0</v>
      </c>
      <c r="K4" s="1">
        <f>I4*(1-J4)</f>
        <v>0.67960259999999995</v>
      </c>
      <c r="L4" s="1">
        <f>I4*J4</f>
        <v>0</v>
      </c>
      <c r="M4">
        <f>I4*H4</f>
        <v>0</v>
      </c>
      <c r="N4" s="7" cm="1">
        <f t="array" ref="N4">I4*(1-J4)*H4/SUMPRODUCT($I$4:$I$21,(1-$J$4:$J$21))</f>
        <v>0</v>
      </c>
      <c r="O4">
        <f>I4*L4</f>
        <v>0</v>
      </c>
      <c r="P4" s="1">
        <v>1E-3</v>
      </c>
      <c r="Q4" s="2">
        <v>0.67960259999999995</v>
      </c>
      <c r="R4" s="1">
        <v>0</v>
      </c>
      <c r="S4">
        <f>Q4/O22</f>
        <v>1223.1125017215643</v>
      </c>
    </row>
    <row r="5" spans="1:19" x14ac:dyDescent="0.25">
      <c r="A5" s="1">
        <v>1E-3</v>
      </c>
      <c r="B5" s="1">
        <v>2</v>
      </c>
      <c r="C5" s="1">
        <v>0</v>
      </c>
      <c r="F5" s="1">
        <v>1E-3</v>
      </c>
      <c r="G5" s="1">
        <v>1</v>
      </c>
      <c r="H5" s="3">
        <v>0.37192175763393365</v>
      </c>
      <c r="I5" s="3">
        <v>0.14897299999999999</v>
      </c>
      <c r="J5" s="6">
        <v>0</v>
      </c>
      <c r="K5" s="1">
        <f t="shared" ref="K5:K21" si="0">I5*(1-J5)</f>
        <v>0.14897299999999999</v>
      </c>
      <c r="L5" s="1">
        <f t="shared" ref="L5:L20" si="1">I5*J5</f>
        <v>0</v>
      </c>
      <c r="M5">
        <f t="shared" ref="M4:M21" si="2">I5*H5</f>
        <v>5.5406299999999992E-2</v>
      </c>
      <c r="N5" s="7" cm="1">
        <f t="array" ref="N5">I5*(1-J5)*H5/SUMPRODUCT($I$4:$I$21,(1-$J$4:$J$21))</f>
        <v>5.8246075652742146E-2</v>
      </c>
      <c r="O5">
        <f t="shared" ref="O5:O20" si="3">I5*L5</f>
        <v>0</v>
      </c>
      <c r="P5" s="1">
        <v>1</v>
      </c>
      <c r="Q5" s="2">
        <v>0.14897299999999999</v>
      </c>
      <c r="R5" s="1">
        <v>0.37192175763393365</v>
      </c>
    </row>
    <row r="6" spans="1:19" x14ac:dyDescent="0.25">
      <c r="A6" s="1">
        <v>2</v>
      </c>
      <c r="B6" s="1">
        <v>3</v>
      </c>
      <c r="C6" s="1">
        <v>0</v>
      </c>
      <c r="F6" s="1">
        <v>1</v>
      </c>
      <c r="G6" s="1">
        <v>2</v>
      </c>
      <c r="H6" s="3">
        <v>1.2677469276483433</v>
      </c>
      <c r="I6" s="3">
        <v>4.6072200000000001E-2</v>
      </c>
      <c r="J6" s="6">
        <v>0</v>
      </c>
      <c r="K6" s="1">
        <f t="shared" si="0"/>
        <v>4.6072200000000001E-2</v>
      </c>
      <c r="L6" s="1">
        <f t="shared" si="1"/>
        <v>0</v>
      </c>
      <c r="M6">
        <f t="shared" si="2"/>
        <v>5.8407890000000004E-2</v>
      </c>
      <c r="N6" s="7" cm="1">
        <f t="array" ref="N6">I6*(1-J6)*H6/SUMPRODUCT($I$4:$I$21,(1-$J$4:$J$21))</f>
        <v>6.1401508125556885E-2</v>
      </c>
      <c r="O6">
        <f t="shared" si="3"/>
        <v>0</v>
      </c>
      <c r="P6" s="1">
        <v>2</v>
      </c>
      <c r="Q6" s="2">
        <v>4.6072200000000001E-2</v>
      </c>
      <c r="R6" s="1">
        <v>1.2677469276483433</v>
      </c>
    </row>
    <row r="7" spans="1:19" x14ac:dyDescent="0.25">
      <c r="A7" s="1">
        <v>3</v>
      </c>
      <c r="B7" s="1">
        <v>5</v>
      </c>
      <c r="C7" s="1">
        <v>0</v>
      </c>
      <c r="F7" s="1">
        <v>2</v>
      </c>
      <c r="G7" s="1">
        <v>3</v>
      </c>
      <c r="H7" s="3">
        <v>2.2005520081676444</v>
      </c>
      <c r="I7" s="3">
        <v>2.31156E-2</v>
      </c>
      <c r="J7" s="6">
        <v>0</v>
      </c>
      <c r="K7" s="1">
        <f t="shared" si="0"/>
        <v>2.31156E-2</v>
      </c>
      <c r="L7" s="1">
        <f t="shared" si="1"/>
        <v>0</v>
      </c>
      <c r="M7">
        <f t="shared" si="2"/>
        <v>5.0867080000000002E-2</v>
      </c>
      <c r="N7" s="7" cm="1">
        <f t="array" ref="N7">I7*(1-J7)*H7/SUMPRODUCT($I$4:$I$21,(1-$J$4:$J$21))</f>
        <v>5.3474204014960169E-2</v>
      </c>
      <c r="O7">
        <f t="shared" si="3"/>
        <v>0</v>
      </c>
      <c r="P7" s="1">
        <v>3</v>
      </c>
      <c r="Q7" s="2">
        <v>2.31156E-2</v>
      </c>
      <c r="R7" s="1">
        <v>2.2005520081676444</v>
      </c>
    </row>
    <row r="8" spans="1:19" x14ac:dyDescent="0.25">
      <c r="A8" s="1">
        <v>5</v>
      </c>
      <c r="B8" s="1">
        <v>10</v>
      </c>
      <c r="C8" s="1">
        <v>2900</v>
      </c>
      <c r="F8" s="1">
        <v>3</v>
      </c>
      <c r="G8" s="1">
        <v>4</v>
      </c>
      <c r="H8" s="3">
        <v>3.1940371209606417</v>
      </c>
      <c r="I8" s="3">
        <v>1.3857400000000001E-2</v>
      </c>
      <c r="J8" s="6">
        <v>0</v>
      </c>
      <c r="K8" s="1">
        <f t="shared" si="0"/>
        <v>1.3857400000000001E-2</v>
      </c>
      <c r="L8" s="1">
        <f t="shared" si="1"/>
        <v>0</v>
      </c>
      <c r="M8">
        <f t="shared" si="2"/>
        <v>4.4261049999999996E-2</v>
      </c>
      <c r="N8" s="7" cm="1">
        <f t="array" ref="N8">I8*(1-J8)*H8/SUMPRODUCT($I$4:$I$21,(1-$J$4:$J$21))</f>
        <v>4.6529590800501085E-2</v>
      </c>
      <c r="O8">
        <f t="shared" si="3"/>
        <v>0</v>
      </c>
      <c r="P8" s="1">
        <v>4</v>
      </c>
      <c r="Q8" s="2">
        <v>1.3857400000000001E-2</v>
      </c>
      <c r="R8" s="1">
        <v>3.1940371209606417</v>
      </c>
    </row>
    <row r="9" spans="1:19" x14ac:dyDescent="0.25">
      <c r="A9" s="1">
        <v>10</v>
      </c>
      <c r="B9" s="1">
        <v>20</v>
      </c>
      <c r="C9" s="1">
        <v>4000</v>
      </c>
      <c r="F9" s="1">
        <v>4</v>
      </c>
      <c r="G9" s="1">
        <v>5</v>
      </c>
      <c r="H9" s="3">
        <v>4.2848911111111114</v>
      </c>
      <c r="I9" s="3">
        <v>4.4999999999999997E-3</v>
      </c>
      <c r="J9" s="6">
        <v>0</v>
      </c>
      <c r="K9" s="1">
        <f t="shared" si="0"/>
        <v>4.4999999999999997E-3</v>
      </c>
      <c r="L9" s="1">
        <f t="shared" si="1"/>
        <v>0</v>
      </c>
      <c r="M9">
        <f t="shared" si="2"/>
        <v>1.9282009999999999E-2</v>
      </c>
      <c r="N9" s="7" cm="1">
        <f t="array" ref="N9">I9*(1-J9)*H9/SUMPRODUCT($I$4:$I$21,(1-$J$4:$J$21))</f>
        <v>2.0270283581414583E-2</v>
      </c>
      <c r="O9">
        <f t="shared" si="3"/>
        <v>0</v>
      </c>
      <c r="P9" s="1">
        <v>5</v>
      </c>
      <c r="Q9" s="2">
        <v>4.4999999999999997E-3</v>
      </c>
      <c r="R9" s="1">
        <v>4.2848911111111114</v>
      </c>
    </row>
    <row r="10" spans="1:19" x14ac:dyDescent="0.25">
      <c r="A10" s="1">
        <v>20</v>
      </c>
      <c r="B10" s="1">
        <v>25</v>
      </c>
      <c r="C10" s="1">
        <v>8000</v>
      </c>
      <c r="F10" s="1">
        <v>5</v>
      </c>
      <c r="G10" s="1">
        <v>10</v>
      </c>
      <c r="H10" s="3">
        <v>6.3816353241682666</v>
      </c>
      <c r="I10" s="3">
        <v>3.1554600000000002E-2</v>
      </c>
      <c r="J10" s="6">
        <v>0.28999999999999998</v>
      </c>
      <c r="K10" s="1">
        <f t="shared" si="0"/>
        <v>2.2403766000000002E-2</v>
      </c>
      <c r="L10" s="1">
        <f t="shared" si="1"/>
        <v>9.1508340000000001E-3</v>
      </c>
      <c r="M10">
        <f t="shared" si="2"/>
        <v>0.20136994999999999</v>
      </c>
      <c r="N10" s="7" cm="1">
        <f t="array" ref="N10">I10*(1-J10)*H10/SUMPRODUCT($I$4:$I$21,(1-$J$4:$J$21))</f>
        <v>0.1503005368115381</v>
      </c>
      <c r="O10">
        <f t="shared" si="3"/>
        <v>2.8875090653640004E-4</v>
      </c>
      <c r="P10" s="1">
        <v>10</v>
      </c>
      <c r="Q10" s="2">
        <v>3.1554600000000002E-2</v>
      </c>
      <c r="R10" s="1">
        <v>6.3816353241682666</v>
      </c>
    </row>
    <row r="11" spans="1:19" x14ac:dyDescent="0.25">
      <c r="A11" s="1">
        <v>25</v>
      </c>
      <c r="B11" s="1">
        <v>50</v>
      </c>
      <c r="C11" s="1">
        <v>9600</v>
      </c>
      <c r="F11" s="1">
        <v>10</v>
      </c>
      <c r="G11" s="1">
        <v>15</v>
      </c>
      <c r="H11" s="3">
        <v>11.122689201788903</v>
      </c>
      <c r="I11" s="3">
        <v>1.26558E-2</v>
      </c>
      <c r="J11" s="6">
        <v>0.4</v>
      </c>
      <c r="K11" s="1">
        <f t="shared" si="0"/>
        <v>7.5934799999999997E-3</v>
      </c>
      <c r="L11" s="1">
        <f t="shared" si="1"/>
        <v>5.0623200000000004E-3</v>
      </c>
      <c r="M11">
        <f t="shared" si="2"/>
        <v>0.14076653</v>
      </c>
      <c r="N11" s="7" cm="1">
        <f t="array" ref="N11">I11*(1-J11)*H11/SUMPRODUCT($I$4:$I$21,(1-$J$4:$J$21))</f>
        <v>8.8788797906599048E-2</v>
      </c>
      <c r="O11">
        <f t="shared" si="3"/>
        <v>6.4067709456000005E-5</v>
      </c>
      <c r="P11" s="1">
        <v>15</v>
      </c>
      <c r="Q11" s="2">
        <v>1.26558E-2</v>
      </c>
      <c r="R11" s="1">
        <v>11.122689201788903</v>
      </c>
    </row>
    <row r="12" spans="1:19" x14ac:dyDescent="0.25">
      <c r="A12" s="1">
        <v>50</v>
      </c>
      <c r="B12" s="1">
        <v>75</v>
      </c>
      <c r="C12" s="1">
        <v>9850</v>
      </c>
      <c r="F12" s="1">
        <v>15</v>
      </c>
      <c r="G12" s="1">
        <v>20</v>
      </c>
      <c r="H12" s="3">
        <v>16.400853961204362</v>
      </c>
      <c r="I12" s="3">
        <v>6.1244000000000003E-3</v>
      </c>
      <c r="J12" s="6">
        <v>0.4</v>
      </c>
      <c r="K12" s="1">
        <f t="shared" si="0"/>
        <v>3.6746399999999999E-3</v>
      </c>
      <c r="L12" s="1">
        <f t="shared" si="1"/>
        <v>2.4497600000000005E-3</v>
      </c>
      <c r="M12">
        <f t="shared" si="2"/>
        <v>0.10044539</v>
      </c>
      <c r="N12" s="7" cm="1">
        <f t="array" ref="N12">I12*(1-J12)*H12/SUMPRODUCT($I$4:$I$21,(1-$J$4:$J$21))</f>
        <v>6.3356150310443296E-2</v>
      </c>
      <c r="O12">
        <f t="shared" si="3"/>
        <v>1.5003310144000004E-5</v>
      </c>
      <c r="P12" s="1">
        <v>20</v>
      </c>
      <c r="Q12" s="2">
        <v>6.1244000000000003E-3</v>
      </c>
      <c r="R12" s="1">
        <v>16.400853961204362</v>
      </c>
    </row>
    <row r="13" spans="1:19" x14ac:dyDescent="0.25">
      <c r="A13" s="1">
        <v>75</v>
      </c>
      <c r="B13" s="1">
        <v>100</v>
      </c>
      <c r="C13" s="1">
        <v>9970</v>
      </c>
      <c r="F13" s="1">
        <v>20</v>
      </c>
      <c r="G13" s="1">
        <v>25</v>
      </c>
      <c r="H13" s="3">
        <v>21.449515850629396</v>
      </c>
      <c r="I13" s="3">
        <v>4.7505999999999998E-3</v>
      </c>
      <c r="J13" s="6">
        <v>0.8</v>
      </c>
      <c r="K13" s="1">
        <f t="shared" si="0"/>
        <v>9.5011999999999972E-4</v>
      </c>
      <c r="L13" s="1">
        <f t="shared" si="1"/>
        <v>3.8004800000000002E-3</v>
      </c>
      <c r="M13">
        <f t="shared" si="2"/>
        <v>0.10189807000000001</v>
      </c>
      <c r="N13" s="7" cm="1">
        <f t="array" ref="N13">I13*(1-J13)*H13/SUMPRODUCT($I$4:$I$21,(1-$J$4:$J$21))</f>
        <v>2.1424143803460673E-2</v>
      </c>
      <c r="O13">
        <f t="shared" si="3"/>
        <v>1.8054560288E-5</v>
      </c>
      <c r="P13" s="1">
        <v>25</v>
      </c>
      <c r="Q13" s="2">
        <v>4.7505999999999998E-3</v>
      </c>
      <c r="R13" s="1">
        <v>21.449515850629396</v>
      </c>
    </row>
    <row r="14" spans="1:19" x14ac:dyDescent="0.25">
      <c r="A14" s="1">
        <v>100</v>
      </c>
      <c r="B14" s="1">
        <v>150</v>
      </c>
      <c r="C14" s="1">
        <v>9980</v>
      </c>
      <c r="F14" s="1">
        <v>25</v>
      </c>
      <c r="G14" s="1">
        <v>50</v>
      </c>
      <c r="H14" s="3">
        <v>33.822590945836701</v>
      </c>
      <c r="I14" s="3">
        <v>9.8960000000000003E-3</v>
      </c>
      <c r="J14" s="6">
        <v>0.96</v>
      </c>
      <c r="K14" s="1">
        <f t="shared" si="0"/>
        <v>3.9584000000000038E-4</v>
      </c>
      <c r="L14" s="1">
        <f t="shared" si="1"/>
        <v>9.5001600000000005E-3</v>
      </c>
      <c r="M14">
        <f t="shared" si="2"/>
        <v>0.33470835999999998</v>
      </c>
      <c r="N14" s="7" cm="1">
        <f t="array" ref="N14">I14*(1-J14)*H14/SUMPRODUCT($I$4:$I$21,(1-$J$4:$J$21))</f>
        <v>1.4074535537052844E-2</v>
      </c>
      <c r="O14">
        <f t="shared" si="3"/>
        <v>9.4013583360000005E-5</v>
      </c>
      <c r="P14" s="1">
        <v>50</v>
      </c>
      <c r="Q14" s="2">
        <v>9.8960000000000003E-3</v>
      </c>
      <c r="R14" s="1">
        <v>33.822590945836701</v>
      </c>
    </row>
    <row r="15" spans="1:19" x14ac:dyDescent="0.25">
      <c r="A15" s="1">
        <v>150</v>
      </c>
      <c r="B15" s="1">
        <v>250</v>
      </c>
      <c r="C15" s="1">
        <v>9995</v>
      </c>
      <c r="F15" s="1">
        <v>50</v>
      </c>
      <c r="G15" s="1">
        <v>75</v>
      </c>
      <c r="H15" s="3">
        <v>57.953774868219689</v>
      </c>
      <c r="I15" s="3">
        <v>5.8809999999999999E-3</v>
      </c>
      <c r="J15" s="6">
        <v>0.98499999999999999</v>
      </c>
      <c r="K15" s="1">
        <f t="shared" si="0"/>
        <v>8.8215000000000076E-5</v>
      </c>
      <c r="L15" s="1">
        <f t="shared" si="1"/>
        <v>5.7927849999999999E-3</v>
      </c>
      <c r="M15">
        <f t="shared" si="2"/>
        <v>0.34082614999999999</v>
      </c>
      <c r="N15" s="7" cm="1">
        <f t="array" ref="N15">I15*(1-J15)*H15/SUMPRODUCT($I$4:$I$21,(1-$J$4:$J$21))</f>
        <v>5.3744210633085579E-3</v>
      </c>
      <c r="O15">
        <f t="shared" si="3"/>
        <v>3.4067368585000003E-5</v>
      </c>
      <c r="P15" s="1">
        <v>75</v>
      </c>
      <c r="Q15" s="2">
        <v>5.8809999999999999E-3</v>
      </c>
      <c r="R15" s="1">
        <v>57.953774868219689</v>
      </c>
    </row>
    <row r="16" spans="1:19" x14ac:dyDescent="0.25">
      <c r="A16" s="1">
        <v>250</v>
      </c>
      <c r="B16" s="1">
        <v>500</v>
      </c>
      <c r="C16" s="1">
        <v>10000</v>
      </c>
      <c r="F16" s="1">
        <v>75</v>
      </c>
      <c r="G16" s="1">
        <v>100</v>
      </c>
      <c r="H16" s="3">
        <v>83.955146191162967</v>
      </c>
      <c r="I16" s="3">
        <v>3.0508000000000002E-3</v>
      </c>
      <c r="J16" s="6">
        <v>0.997</v>
      </c>
      <c r="K16" s="1">
        <f t="shared" si="0"/>
        <v>9.1524000000000091E-6</v>
      </c>
      <c r="L16" s="1">
        <f t="shared" si="1"/>
        <v>3.0416476000000004E-3</v>
      </c>
      <c r="M16">
        <f t="shared" si="2"/>
        <v>0.25613036</v>
      </c>
      <c r="N16" s="7" cm="1">
        <f t="array" ref="N16">I16*(1-J16)*H16/SUMPRODUCT($I$4:$I$21,(1-$J$4:$J$21))</f>
        <v>8.0777393503215871E-4</v>
      </c>
      <c r="O16">
        <f t="shared" si="3"/>
        <v>9.2794584980800013E-6</v>
      </c>
      <c r="P16" s="1">
        <v>100</v>
      </c>
      <c r="Q16" s="2">
        <v>3.0508000000000002E-3</v>
      </c>
      <c r="R16" s="1">
        <v>83.955146191162967</v>
      </c>
    </row>
    <row r="17" spans="1:18" x14ac:dyDescent="0.25">
      <c r="A17" s="1">
        <v>500</v>
      </c>
      <c r="B17" s="1">
        <v>1000</v>
      </c>
      <c r="C17" s="1">
        <v>10000</v>
      </c>
      <c r="F17" s="1">
        <v>100</v>
      </c>
      <c r="G17" s="1">
        <v>150</v>
      </c>
      <c r="H17" s="3">
        <v>117.19662273476111</v>
      </c>
      <c r="I17" s="3">
        <v>3.8847999999999999E-3</v>
      </c>
      <c r="J17" s="6">
        <v>0.998</v>
      </c>
      <c r="K17" s="1">
        <f t="shared" si="0"/>
        <v>7.769600000000006E-6</v>
      </c>
      <c r="L17" s="1">
        <f t="shared" si="1"/>
        <v>3.8770303999999998E-3</v>
      </c>
      <c r="M17">
        <f t="shared" si="2"/>
        <v>0.45528543999999993</v>
      </c>
      <c r="N17" s="7" cm="1">
        <f t="array" ref="N17">I17*(1-J17)*H17/SUMPRODUCT($I$4:$I$21,(1-$J$4:$J$21))</f>
        <v>9.5724097013632082E-4</v>
      </c>
      <c r="O17">
        <f t="shared" si="3"/>
        <v>1.5061487697919999E-5</v>
      </c>
      <c r="P17" s="1">
        <v>150</v>
      </c>
      <c r="Q17" s="2">
        <v>3.8847999999999999E-3</v>
      </c>
      <c r="R17" s="1">
        <v>117.19662273476111</v>
      </c>
    </row>
    <row r="18" spans="1:18" x14ac:dyDescent="0.25">
      <c r="A18" s="1">
        <v>1000</v>
      </c>
      <c r="B18" s="1">
        <v>9999999</v>
      </c>
      <c r="C18" s="1">
        <v>10000</v>
      </c>
      <c r="F18" s="1">
        <v>150</v>
      </c>
      <c r="G18" s="1">
        <v>250</v>
      </c>
      <c r="H18" s="3">
        <v>186.09571176885129</v>
      </c>
      <c r="I18" s="3">
        <v>2.8379999999999998E-3</v>
      </c>
      <c r="J18" s="6">
        <v>0.99950000000000006</v>
      </c>
      <c r="K18" s="1">
        <f t="shared" si="0"/>
        <v>1.4189999999998436E-6</v>
      </c>
      <c r="L18" s="1">
        <f t="shared" si="1"/>
        <v>2.8365809999999999E-3</v>
      </c>
      <c r="M18">
        <f t="shared" si="2"/>
        <v>0.52813962999999997</v>
      </c>
      <c r="N18" s="7" cm="1">
        <f t="array" ref="N18">I18*(1-J18)*H18/SUMPRODUCT($I$4:$I$21,(1-$J$4:$J$21))</f>
        <v>2.7760435946984238E-4</v>
      </c>
      <c r="O18">
        <f t="shared" si="3"/>
        <v>8.0502168779999992E-6</v>
      </c>
      <c r="P18" s="1">
        <v>250</v>
      </c>
      <c r="Q18" s="2">
        <v>2.8379999999999998E-3</v>
      </c>
      <c r="R18" s="1">
        <v>186.09571176885129</v>
      </c>
    </row>
    <row r="19" spans="1:18" x14ac:dyDescent="0.25">
      <c r="F19" s="1">
        <v>250</v>
      </c>
      <c r="G19" s="1">
        <v>500</v>
      </c>
      <c r="H19" s="3">
        <v>337.65783120642021</v>
      </c>
      <c r="I19" s="3">
        <v>3.0404E-3</v>
      </c>
      <c r="J19" s="6">
        <v>1</v>
      </c>
      <c r="K19" s="1">
        <f t="shared" si="0"/>
        <v>0</v>
      </c>
      <c r="L19" s="1">
        <f t="shared" si="1"/>
        <v>3.0404E-3</v>
      </c>
      <c r="M19">
        <f t="shared" si="2"/>
        <v>1.02661487</v>
      </c>
      <c r="N19" s="7" cm="1">
        <f t="array" ref="N19">I19*(1-J19)*H19/SUMPRODUCT($I$4:$I$21,(1-$J$4:$J$21))</f>
        <v>0</v>
      </c>
      <c r="O19">
        <f t="shared" si="3"/>
        <v>9.2440321599999997E-6</v>
      </c>
      <c r="P19" s="1">
        <v>500</v>
      </c>
      <c r="Q19" s="2">
        <v>3.0404E-3</v>
      </c>
      <c r="R19" s="1">
        <v>337.65783120642021</v>
      </c>
    </row>
    <row r="20" spans="1:18" x14ac:dyDescent="0.25">
      <c r="C20" s="1" t="s">
        <v>19</v>
      </c>
      <c r="F20" s="1">
        <v>500</v>
      </c>
      <c r="G20" s="1">
        <v>1000</v>
      </c>
      <c r="H20" s="3">
        <v>500</v>
      </c>
      <c r="I20" s="3">
        <v>2.028E-4</v>
      </c>
      <c r="J20" s="6">
        <v>1</v>
      </c>
      <c r="K20" s="1">
        <f t="shared" si="0"/>
        <v>0</v>
      </c>
      <c r="L20" s="1">
        <f t="shared" si="1"/>
        <v>2.028E-4</v>
      </c>
      <c r="M20">
        <f t="shared" si="2"/>
        <v>0.1014</v>
      </c>
      <c r="N20" s="7" cm="1">
        <f t="array" ref="N20">I20*(1-J20)*H20/SUMPRODUCT($I$4:$I$21,(1-$J$4:$J$21))</f>
        <v>0</v>
      </c>
      <c r="O20">
        <f t="shared" si="3"/>
        <v>4.1127839999999998E-8</v>
      </c>
      <c r="P20" s="1">
        <v>1000</v>
      </c>
      <c r="Q20" s="2">
        <v>2.028E-4</v>
      </c>
      <c r="R20" s="1">
        <v>500</v>
      </c>
    </row>
    <row r="21" spans="1:18" x14ac:dyDescent="0.25">
      <c r="F21" s="1">
        <v>1000</v>
      </c>
      <c r="G21" s="1">
        <v>9999999</v>
      </c>
      <c r="H21" s="4">
        <v>0</v>
      </c>
      <c r="I21" s="3">
        <v>0</v>
      </c>
      <c r="J21" s="6">
        <v>0</v>
      </c>
      <c r="K21" s="1">
        <f t="shared" si="0"/>
        <v>0</v>
      </c>
      <c r="L21" s="1">
        <v>0</v>
      </c>
      <c r="M21">
        <f t="shared" si="2"/>
        <v>0</v>
      </c>
      <c r="N21" s="7" cm="1">
        <f t="array" ref="N21">I21*(1-J21)*H21/SUMPRODUCT($I$4:$I$21,(1-$J$4:$J$21))</f>
        <v>0</v>
      </c>
      <c r="O21">
        <f>I21*L21</f>
        <v>0</v>
      </c>
    </row>
    <row r="22" spans="1:18" x14ac:dyDescent="0.25">
      <c r="H22" s="5" t="s">
        <v>10</v>
      </c>
      <c r="I22" s="5"/>
      <c r="J22" t="s">
        <v>11</v>
      </c>
      <c r="K22">
        <f t="shared" ref="K22:L22" si="4">SUM(K4:K21)</f>
        <v>0.95124520200000007</v>
      </c>
      <c r="L22">
        <f t="shared" si="4"/>
        <v>4.8754798000000009E-2</v>
      </c>
      <c r="M22">
        <f>SUM(M4:M21)</f>
        <v>3.8158090799999997</v>
      </c>
      <c r="N22" s="7">
        <f>SUM(N4:N21)</f>
        <v>0.58528286687221576</v>
      </c>
      <c r="O22">
        <f>SUM(O4:O21)</f>
        <v>5.5563376144340012E-4</v>
      </c>
    </row>
    <row r="23" spans="1:18" x14ac:dyDescent="0.25">
      <c r="J23" s="9" t="s">
        <v>18</v>
      </c>
      <c r="N23" t="s">
        <v>12</v>
      </c>
    </row>
    <row r="26" spans="1:18" x14ac:dyDescent="0.25">
      <c r="J26" t="s">
        <v>9</v>
      </c>
      <c r="K26">
        <f>K4/K22</f>
        <v>0.71443472048124967</v>
      </c>
    </row>
  </sheetData>
  <sortState xmlns:xlrd2="http://schemas.microsoft.com/office/spreadsheetml/2017/richdata2" ref="P4:R20">
    <sortCondition ref="P4:P20"/>
  </sortState>
  <mergeCells count="1">
    <mergeCell ref="H22:I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DE64-210C-4BA1-BD31-CCDABA96A2C9}">
  <dimension ref="B3:N31"/>
  <sheetViews>
    <sheetView workbookViewId="0">
      <selection activeCell="F18" sqref="F18"/>
    </sheetView>
  </sheetViews>
  <sheetFormatPr defaultRowHeight="15.75" x14ac:dyDescent="0.25"/>
  <cols>
    <col min="6" max="6" width="16" customWidth="1"/>
    <col min="9" max="9" width="9.5703125" bestFit="1" customWidth="1"/>
  </cols>
  <sheetData>
    <row r="3" spans="2:14" x14ac:dyDescent="0.25">
      <c r="D3" t="s">
        <v>3</v>
      </c>
      <c r="E3" t="s">
        <v>4</v>
      </c>
      <c r="F3" t="s">
        <v>5</v>
      </c>
      <c r="G3" t="s">
        <v>8</v>
      </c>
      <c r="H3" t="s">
        <v>6</v>
      </c>
      <c r="I3" t="s">
        <v>7</v>
      </c>
    </row>
    <row r="4" spans="2:14" x14ac:dyDescent="0.25">
      <c r="B4" s="1">
        <v>0</v>
      </c>
      <c r="C4" s="1">
        <v>1E-3</v>
      </c>
      <c r="D4" s="3">
        <v>0</v>
      </c>
      <c r="E4" s="3">
        <v>0.67960259999999995</v>
      </c>
      <c r="F4" s="6">
        <v>0</v>
      </c>
      <c r="G4" s="1">
        <f>E4*(1-F4)</f>
        <v>0.67960259999999995</v>
      </c>
      <c r="H4">
        <f>E4*D4</f>
        <v>0</v>
      </c>
      <c r="I4" s="7">
        <f>G4*D4/SUM($G$4:$G$21)</f>
        <v>0</v>
      </c>
      <c r="J4" t="e">
        <f>E4*#REF!</f>
        <v>#REF!</v>
      </c>
      <c r="K4" s="1">
        <v>1E-3</v>
      </c>
      <c r="L4" s="2">
        <v>0.67960259999999995</v>
      </c>
      <c r="M4" s="1">
        <v>0</v>
      </c>
      <c r="N4" t="e">
        <f>L4/J22</f>
        <v>#REF!</v>
      </c>
    </row>
    <row r="5" spans="2:14" x14ac:dyDescent="0.25">
      <c r="B5" s="1">
        <v>1E-3</v>
      </c>
      <c r="C5" s="1">
        <v>1</v>
      </c>
      <c r="D5" s="3">
        <v>0.37192175763393365</v>
      </c>
      <c r="E5" s="3">
        <v>0.14897299999999999</v>
      </c>
      <c r="F5" s="6">
        <v>0</v>
      </c>
      <c r="G5" s="1">
        <f t="shared" ref="G5:G21" si="0">E5*(1-F5)</f>
        <v>0.14897299999999999</v>
      </c>
      <c r="H5">
        <f>E5*D5</f>
        <v>5.5406299999999992E-2</v>
      </c>
      <c r="I5" s="7">
        <f t="shared" ref="I5:I21" si="1">G5*D5/SUM($G$4:$G$21)</f>
        <v>5.8246075652742146E-2</v>
      </c>
      <c r="J5" t="e">
        <f>E5*#REF!</f>
        <v>#REF!</v>
      </c>
      <c r="K5" s="1">
        <v>1</v>
      </c>
      <c r="L5" s="2">
        <v>0.14897299999999999</v>
      </c>
      <c r="M5" s="1">
        <v>0.37192175763393365</v>
      </c>
    </row>
    <row r="6" spans="2:14" x14ac:dyDescent="0.25">
      <c r="B6" s="1">
        <v>1</v>
      </c>
      <c r="C6" s="1">
        <v>2</v>
      </c>
      <c r="D6" s="3">
        <v>1.2677469276483433</v>
      </c>
      <c r="E6" s="3">
        <v>4.6072200000000001E-2</v>
      </c>
      <c r="F6" s="6">
        <v>0</v>
      </c>
      <c r="G6" s="1">
        <f t="shared" si="0"/>
        <v>4.6072200000000001E-2</v>
      </c>
      <c r="H6">
        <f>E6*D6</f>
        <v>5.8407890000000004E-2</v>
      </c>
      <c r="I6" s="7">
        <f t="shared" si="1"/>
        <v>6.1401508125556885E-2</v>
      </c>
      <c r="J6" t="e">
        <f>E6*#REF!</f>
        <v>#REF!</v>
      </c>
      <c r="K6" s="1">
        <v>2</v>
      </c>
      <c r="L6" s="2">
        <v>4.6072200000000001E-2</v>
      </c>
      <c r="M6" s="1">
        <v>1.2677469276483433</v>
      </c>
    </row>
    <row r="7" spans="2:14" x14ac:dyDescent="0.25">
      <c r="B7" s="1">
        <v>2</v>
      </c>
      <c r="C7" s="1">
        <v>3</v>
      </c>
      <c r="D7" s="3">
        <v>2.2005520081676444</v>
      </c>
      <c r="E7" s="3">
        <v>2.31156E-2</v>
      </c>
      <c r="F7" s="6">
        <v>0</v>
      </c>
      <c r="G7" s="1">
        <f t="shared" si="0"/>
        <v>2.31156E-2</v>
      </c>
      <c r="H7">
        <f>E7*D7</f>
        <v>5.0867080000000002E-2</v>
      </c>
      <c r="I7" s="7">
        <f t="shared" si="1"/>
        <v>5.3474204014960169E-2</v>
      </c>
      <c r="J7" t="e">
        <f>E7*#REF!</f>
        <v>#REF!</v>
      </c>
      <c r="K7" s="1">
        <v>3</v>
      </c>
      <c r="L7" s="2">
        <v>2.31156E-2</v>
      </c>
      <c r="M7" s="1">
        <v>2.2005520081676444</v>
      </c>
    </row>
    <row r="8" spans="2:14" x14ac:dyDescent="0.25">
      <c r="B8" s="1">
        <v>3</v>
      </c>
      <c r="C8" s="1">
        <v>4</v>
      </c>
      <c r="D8" s="3">
        <v>3.1940371209606417</v>
      </c>
      <c r="E8" s="3">
        <v>1.3857400000000001E-2</v>
      </c>
      <c r="F8" s="6">
        <v>0</v>
      </c>
      <c r="G8" s="1">
        <f t="shared" si="0"/>
        <v>1.3857400000000001E-2</v>
      </c>
      <c r="H8">
        <f>E8*D8</f>
        <v>4.4261049999999996E-2</v>
      </c>
      <c r="I8" s="7">
        <f t="shared" si="1"/>
        <v>4.6529590800501085E-2</v>
      </c>
      <c r="J8" t="e">
        <f>E8*#REF!</f>
        <v>#REF!</v>
      </c>
      <c r="K8" s="1">
        <v>4</v>
      </c>
      <c r="L8" s="2">
        <v>1.3857400000000001E-2</v>
      </c>
      <c r="M8" s="1">
        <v>3.1940371209606417</v>
      </c>
    </row>
    <row r="9" spans="2:14" x14ac:dyDescent="0.25">
      <c r="B9" s="1">
        <v>4</v>
      </c>
      <c r="C9" s="1">
        <v>5</v>
      </c>
      <c r="D9" s="3">
        <v>4.2848911111111114</v>
      </c>
      <c r="E9" s="3">
        <v>4.4999999999999997E-3</v>
      </c>
      <c r="F9" s="6">
        <v>0</v>
      </c>
      <c r="G9" s="1">
        <f t="shared" si="0"/>
        <v>4.4999999999999997E-3</v>
      </c>
      <c r="H9">
        <f>E9*D9</f>
        <v>1.9282009999999999E-2</v>
      </c>
      <c r="I9" s="7">
        <f t="shared" si="1"/>
        <v>2.0270283581414583E-2</v>
      </c>
      <c r="J9" t="e">
        <f>E9*#REF!</f>
        <v>#REF!</v>
      </c>
      <c r="K9" s="1">
        <v>5</v>
      </c>
      <c r="L9" s="2">
        <v>4.4999999999999997E-3</v>
      </c>
      <c r="M9" s="1">
        <v>4.2848911111111114</v>
      </c>
    </row>
    <row r="10" spans="2:14" x14ac:dyDescent="0.25">
      <c r="B10" s="1">
        <v>5</v>
      </c>
      <c r="C10" s="1">
        <v>10</v>
      </c>
      <c r="D10" s="3">
        <v>6.3816353241682666</v>
      </c>
      <c r="E10" s="3">
        <v>3.1554600000000002E-2</v>
      </c>
      <c r="F10" s="6">
        <v>0.28999999999999998</v>
      </c>
      <c r="G10" s="1">
        <f t="shared" si="0"/>
        <v>2.2403766000000002E-2</v>
      </c>
      <c r="H10">
        <f>E10*D10</f>
        <v>0.20136994999999999</v>
      </c>
      <c r="I10" s="7">
        <f>G10*D10/SUM($G$4:$G$21)</f>
        <v>0.1503005368115381</v>
      </c>
      <c r="J10" t="e">
        <f>E10*#REF!</f>
        <v>#REF!</v>
      </c>
      <c r="K10" s="1">
        <v>10</v>
      </c>
      <c r="L10" s="2">
        <v>3.1554600000000002E-2</v>
      </c>
      <c r="M10" s="1">
        <v>6.3816353241682666</v>
      </c>
    </row>
    <row r="11" spans="2:14" x14ac:dyDescent="0.25">
      <c r="B11" s="1">
        <v>10</v>
      </c>
      <c r="C11" s="1">
        <v>15</v>
      </c>
      <c r="D11" s="3">
        <v>11.122689201788903</v>
      </c>
      <c r="E11" s="3">
        <v>1.26558E-2</v>
      </c>
      <c r="F11" s="6">
        <v>0.4</v>
      </c>
      <c r="G11" s="1">
        <f t="shared" si="0"/>
        <v>7.5934799999999997E-3</v>
      </c>
      <c r="H11">
        <f>E11*D11</f>
        <v>0.14076653</v>
      </c>
      <c r="I11" s="7">
        <f t="shared" si="1"/>
        <v>8.8788797906599048E-2</v>
      </c>
      <c r="J11" t="e">
        <f>E11*#REF!</f>
        <v>#REF!</v>
      </c>
      <c r="K11" s="1">
        <v>15</v>
      </c>
      <c r="L11" s="2">
        <v>1.26558E-2</v>
      </c>
      <c r="M11" s="1">
        <v>11.122689201788903</v>
      </c>
    </row>
    <row r="12" spans="2:14" x14ac:dyDescent="0.25">
      <c r="B12" s="1">
        <v>15</v>
      </c>
      <c r="C12" s="1">
        <v>20</v>
      </c>
      <c r="D12" s="3">
        <v>16.400853961204362</v>
      </c>
      <c r="E12" s="3">
        <v>6.1244000000000003E-3</v>
      </c>
      <c r="F12" s="6">
        <v>0.4</v>
      </c>
      <c r="G12" s="1">
        <f t="shared" si="0"/>
        <v>3.6746399999999999E-3</v>
      </c>
      <c r="H12">
        <f>E12*D12</f>
        <v>0.10044539</v>
      </c>
      <c r="I12" s="7">
        <f t="shared" si="1"/>
        <v>6.3356150310443296E-2</v>
      </c>
      <c r="J12" t="e">
        <f>E12*#REF!</f>
        <v>#REF!</v>
      </c>
      <c r="K12" s="1">
        <v>20</v>
      </c>
      <c r="L12" s="2">
        <v>6.1244000000000003E-3</v>
      </c>
      <c r="M12" s="1">
        <v>16.400853961204362</v>
      </c>
    </row>
    <row r="13" spans="2:14" x14ac:dyDescent="0.25">
      <c r="B13" s="1">
        <v>20</v>
      </c>
      <c r="C13" s="1">
        <v>25</v>
      </c>
      <c r="D13" s="3">
        <v>21.449515850629396</v>
      </c>
      <c r="E13" s="3">
        <v>4.7505999999999998E-3</v>
      </c>
      <c r="F13" s="6">
        <v>0.8</v>
      </c>
      <c r="G13" s="1">
        <f t="shared" si="0"/>
        <v>9.5011999999999972E-4</v>
      </c>
      <c r="H13">
        <f>E13*D13</f>
        <v>0.10189807000000001</v>
      </c>
      <c r="I13" s="7">
        <f t="shared" si="1"/>
        <v>2.1424143803460673E-2</v>
      </c>
      <c r="J13" t="e">
        <f>E13*#REF!</f>
        <v>#REF!</v>
      </c>
      <c r="K13" s="1">
        <v>25</v>
      </c>
      <c r="L13" s="2">
        <v>4.7505999999999998E-3</v>
      </c>
      <c r="M13" s="1">
        <v>21.449515850629396</v>
      </c>
    </row>
    <row r="14" spans="2:14" x14ac:dyDescent="0.25">
      <c r="B14" s="1">
        <v>25</v>
      </c>
      <c r="C14" s="1">
        <v>50</v>
      </c>
      <c r="D14" s="3">
        <v>33.822590945836701</v>
      </c>
      <c r="E14" s="3">
        <v>9.8960000000000003E-3</v>
      </c>
      <c r="F14" s="6">
        <v>0.96</v>
      </c>
      <c r="G14" s="1">
        <f t="shared" si="0"/>
        <v>3.9584000000000038E-4</v>
      </c>
      <c r="H14">
        <f>E14*D14</f>
        <v>0.33470835999999998</v>
      </c>
      <c r="I14" s="7">
        <f t="shared" si="1"/>
        <v>1.4074535537052844E-2</v>
      </c>
      <c r="J14" t="e">
        <f>E14*#REF!</f>
        <v>#REF!</v>
      </c>
      <c r="K14" s="1">
        <v>50</v>
      </c>
      <c r="L14" s="2">
        <v>9.8960000000000003E-3</v>
      </c>
      <c r="M14" s="1">
        <v>33.822590945836701</v>
      </c>
    </row>
    <row r="15" spans="2:14" x14ac:dyDescent="0.25">
      <c r="B15" s="1">
        <v>50</v>
      </c>
      <c r="C15" s="1">
        <v>75</v>
      </c>
      <c r="D15" s="3">
        <v>57.953774868219689</v>
      </c>
      <c r="E15" s="3">
        <v>5.8809999999999999E-3</v>
      </c>
      <c r="F15" s="6">
        <v>0.98499999999999999</v>
      </c>
      <c r="G15" s="1">
        <f t="shared" si="0"/>
        <v>8.8215000000000076E-5</v>
      </c>
      <c r="H15">
        <f>E15*D15</f>
        <v>0.34082614999999999</v>
      </c>
      <c r="I15" s="7">
        <f t="shared" si="1"/>
        <v>5.3744210633085579E-3</v>
      </c>
      <c r="J15" t="e">
        <f>E15*#REF!</f>
        <v>#REF!</v>
      </c>
      <c r="K15" s="1">
        <v>75</v>
      </c>
      <c r="L15" s="2">
        <v>5.8809999999999999E-3</v>
      </c>
      <c r="M15" s="1">
        <v>57.953774868219689</v>
      </c>
    </row>
    <row r="16" spans="2:14" x14ac:dyDescent="0.25">
      <c r="B16" s="1">
        <v>75</v>
      </c>
      <c r="C16" s="1">
        <v>100</v>
      </c>
      <c r="D16" s="3">
        <v>83.955146191162967</v>
      </c>
      <c r="E16" s="3">
        <v>3.0508000000000002E-3</v>
      </c>
      <c r="F16" s="6">
        <v>0.997</v>
      </c>
      <c r="G16" s="1">
        <f t="shared" si="0"/>
        <v>9.1524000000000091E-6</v>
      </c>
      <c r="H16">
        <f>E16*D16</f>
        <v>0.25613036</v>
      </c>
      <c r="I16" s="7">
        <f t="shared" si="1"/>
        <v>8.0777393503215871E-4</v>
      </c>
      <c r="J16" t="e">
        <f>E16*#REF!</f>
        <v>#REF!</v>
      </c>
      <c r="K16" s="1">
        <v>100</v>
      </c>
      <c r="L16" s="2">
        <v>3.0508000000000002E-3</v>
      </c>
      <c r="M16" s="1">
        <v>83.955146191162967</v>
      </c>
    </row>
    <row r="17" spans="2:13" x14ac:dyDescent="0.25">
      <c r="B17" s="1">
        <v>100</v>
      </c>
      <c r="C17" s="1">
        <v>150</v>
      </c>
      <c r="D17" s="3">
        <v>117.19662273476111</v>
      </c>
      <c r="E17" s="3">
        <v>3.8847999999999999E-3</v>
      </c>
      <c r="F17" s="6">
        <v>0.998</v>
      </c>
      <c r="G17" s="1">
        <f t="shared" si="0"/>
        <v>7.769600000000006E-6</v>
      </c>
      <c r="H17">
        <f>E17*D17</f>
        <v>0.45528543999999993</v>
      </c>
      <c r="I17" s="7">
        <f t="shared" si="1"/>
        <v>9.5724097013632082E-4</v>
      </c>
      <c r="J17" t="e">
        <f>E17*#REF!</f>
        <v>#REF!</v>
      </c>
      <c r="K17" s="1">
        <v>150</v>
      </c>
      <c r="L17" s="2">
        <v>3.8847999999999999E-3</v>
      </c>
      <c r="M17" s="1">
        <v>117.19662273476111</v>
      </c>
    </row>
    <row r="18" spans="2:13" x14ac:dyDescent="0.25">
      <c r="B18" s="1">
        <v>150</v>
      </c>
      <c r="C18" s="1">
        <v>250</v>
      </c>
      <c r="D18" s="3">
        <v>186.09571176885129</v>
      </c>
      <c r="E18" s="3">
        <v>2.8379999999999998E-3</v>
      </c>
      <c r="F18" s="6">
        <v>0.99950000000000006</v>
      </c>
      <c r="G18" s="1">
        <f t="shared" si="0"/>
        <v>1.4189999999998436E-6</v>
      </c>
      <c r="H18">
        <f>E18*D18</f>
        <v>0.52813962999999997</v>
      </c>
      <c r="I18" s="7">
        <f t="shared" si="1"/>
        <v>2.7760435946984238E-4</v>
      </c>
      <c r="J18" t="e">
        <f>E18*#REF!</f>
        <v>#REF!</v>
      </c>
      <c r="K18" s="1">
        <v>250</v>
      </c>
      <c r="L18" s="2">
        <v>2.8379999999999998E-3</v>
      </c>
      <c r="M18" s="1">
        <v>186.09571176885129</v>
      </c>
    </row>
    <row r="19" spans="2:13" x14ac:dyDescent="0.25">
      <c r="B19" s="1">
        <v>250</v>
      </c>
      <c r="C19" s="1">
        <v>500</v>
      </c>
      <c r="D19" s="3">
        <v>337.65783120642021</v>
      </c>
      <c r="E19" s="3">
        <v>3.0404E-3</v>
      </c>
      <c r="F19" s="6">
        <v>1</v>
      </c>
      <c r="G19" s="1">
        <f t="shared" si="0"/>
        <v>0</v>
      </c>
      <c r="H19">
        <f>E19*D19</f>
        <v>1.02661487</v>
      </c>
      <c r="I19" s="7">
        <f t="shared" si="1"/>
        <v>0</v>
      </c>
      <c r="J19" t="e">
        <f>E19*#REF!</f>
        <v>#REF!</v>
      </c>
      <c r="K19" s="1">
        <v>500</v>
      </c>
      <c r="L19" s="2">
        <v>3.0404E-3</v>
      </c>
      <c r="M19" s="1">
        <v>337.65783120642021</v>
      </c>
    </row>
    <row r="20" spans="2:13" x14ac:dyDescent="0.25">
      <c r="B20" s="1">
        <v>500</v>
      </c>
      <c r="C20" s="1">
        <v>1000</v>
      </c>
      <c r="D20" s="3">
        <v>500</v>
      </c>
      <c r="E20" s="3">
        <v>2.028E-4</v>
      </c>
      <c r="F20" s="6">
        <v>1</v>
      </c>
      <c r="G20" s="1">
        <f t="shared" si="0"/>
        <v>0</v>
      </c>
      <c r="H20">
        <f>E20*D20</f>
        <v>0.1014</v>
      </c>
      <c r="I20" s="7">
        <f t="shared" si="1"/>
        <v>0</v>
      </c>
      <c r="J20" t="e">
        <f>E20*#REF!</f>
        <v>#REF!</v>
      </c>
      <c r="K20" s="1">
        <v>1000</v>
      </c>
      <c r="L20" s="2">
        <v>2.028E-4</v>
      </c>
      <c r="M20" s="1">
        <v>500</v>
      </c>
    </row>
    <row r="21" spans="2:13" x14ac:dyDescent="0.25">
      <c r="B21" s="1">
        <v>1000</v>
      </c>
      <c r="C21" s="1">
        <v>9999999</v>
      </c>
      <c r="D21" s="4">
        <v>0</v>
      </c>
      <c r="E21" s="3">
        <v>0</v>
      </c>
      <c r="F21" s="6">
        <v>0</v>
      </c>
      <c r="G21" s="1">
        <f t="shared" si="0"/>
        <v>0</v>
      </c>
      <c r="H21">
        <f>E21*D21</f>
        <v>0</v>
      </c>
      <c r="I21" s="7">
        <f t="shared" si="1"/>
        <v>0</v>
      </c>
      <c r="J21" t="e">
        <f>E21*#REF!</f>
        <v>#REF!</v>
      </c>
    </row>
    <row r="22" spans="2:13" x14ac:dyDescent="0.25">
      <c r="D22" s="5" t="s">
        <v>10</v>
      </c>
      <c r="E22" s="5"/>
      <c r="F22" t="s">
        <v>11</v>
      </c>
      <c r="G22">
        <f t="shared" ref="G22" si="2">SUM(G4:G21)</f>
        <v>0.95124520200000007</v>
      </c>
      <c r="H22">
        <f>SUM(H4:H21)</f>
        <v>3.8158090799999997</v>
      </c>
      <c r="I22" s="8">
        <f>SUM(I4:I21)</f>
        <v>0.58528286687221576</v>
      </c>
      <c r="J22" t="e">
        <f>SUM(J4:J21)</f>
        <v>#REF!</v>
      </c>
    </row>
    <row r="23" spans="2:13" x14ac:dyDescent="0.25">
      <c r="I23" t="s">
        <v>12</v>
      </c>
    </row>
    <row r="24" spans="2:13" x14ac:dyDescent="0.25">
      <c r="F24" t="s">
        <v>9</v>
      </c>
      <c r="G24">
        <f>G4/G22</f>
        <v>0.71443472048124967</v>
      </c>
    </row>
    <row r="25" spans="2:13" x14ac:dyDescent="0.25">
      <c r="I25" s="8"/>
      <c r="J25" t="s">
        <v>13</v>
      </c>
    </row>
    <row r="27" spans="2:13" x14ac:dyDescent="0.25">
      <c r="B27" t="s">
        <v>14</v>
      </c>
    </row>
    <row r="28" spans="2:13" x14ac:dyDescent="0.25">
      <c r="B28" t="s">
        <v>15</v>
      </c>
    </row>
    <row r="30" spans="2:13" x14ac:dyDescent="0.25">
      <c r="B30" t="s">
        <v>16</v>
      </c>
    </row>
    <row r="31" spans="2:13" x14ac:dyDescent="0.25">
      <c r="B31" t="s">
        <v>17</v>
      </c>
    </row>
  </sheetData>
  <mergeCells count="1">
    <mergeCell ref="D22:E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8D4E-AD7D-47C3-ADD9-2322C961570F}">
  <dimension ref="A1:H19"/>
  <sheetViews>
    <sheetView workbookViewId="0">
      <selection activeCell="K22" sqref="K22"/>
    </sheetView>
  </sheetViews>
  <sheetFormatPr defaultRowHeight="15.75" x14ac:dyDescent="0.25"/>
  <sheetData>
    <row r="1" spans="1:8" x14ac:dyDescent="0.25">
      <c r="A1" s="1">
        <v>0</v>
      </c>
      <c r="B1" s="1">
        <v>1E-3</v>
      </c>
      <c r="C1" s="3">
        <v>0</v>
      </c>
      <c r="D1" s="3">
        <v>0.67960259999999995</v>
      </c>
      <c r="E1" s="6">
        <v>0</v>
      </c>
      <c r="G1">
        <f>C1*B1</f>
        <v>0</v>
      </c>
      <c r="H1" s="7" t="e" cm="1">
        <f t="array" ref="H1">C1*(1-D1)*B1/SUMPRODUCT($I$4:$I$21,(1-$J$4:$J$21))</f>
        <v>#DIV/0!</v>
      </c>
    </row>
    <row r="2" spans="1:8" x14ac:dyDescent="0.25">
      <c r="A2" s="1">
        <v>1E-3</v>
      </c>
      <c r="B2" s="1">
        <v>1</v>
      </c>
      <c r="C2" s="3">
        <v>0.37192175763393365</v>
      </c>
      <c r="D2" s="3">
        <v>0.14897299999999999</v>
      </c>
      <c r="E2" s="6">
        <v>0</v>
      </c>
      <c r="G2">
        <f t="shared" ref="G2:G19" si="0">C2*B2</f>
        <v>0.37192175763393365</v>
      </c>
      <c r="H2" s="7" t="e" cm="1">
        <f t="array" ref="H2">C2*(1-D2)*B2/SUMPRODUCT($I$4:$I$21,(1-$J$4:$J$21))</f>
        <v>#DIV/0!</v>
      </c>
    </row>
    <row r="3" spans="1:8" x14ac:dyDescent="0.25">
      <c r="A3" s="1">
        <v>1</v>
      </c>
      <c r="B3" s="1">
        <v>2</v>
      </c>
      <c r="C3" s="3">
        <v>1.2677469276483433</v>
      </c>
      <c r="D3" s="3">
        <v>4.6072200000000001E-2</v>
      </c>
      <c r="E3" s="6">
        <v>0</v>
      </c>
      <c r="G3">
        <f t="shared" si="0"/>
        <v>2.5354938552966866</v>
      </c>
      <c r="H3" s="7" t="e" cm="1">
        <f t="array" ref="H3">C3*(1-D3)*B3/SUMPRODUCT($I$4:$I$21,(1-$J$4:$J$21))</f>
        <v>#DIV/0!</v>
      </c>
    </row>
    <row r="4" spans="1:8" x14ac:dyDescent="0.25">
      <c r="A4" s="1">
        <v>2</v>
      </c>
      <c r="B4" s="1">
        <v>3</v>
      </c>
      <c r="C4" s="3">
        <v>2.2005520081676444</v>
      </c>
      <c r="D4" s="3">
        <v>2.31156E-2</v>
      </c>
      <c r="E4" s="6">
        <v>0</v>
      </c>
      <c r="G4">
        <f t="shared" si="0"/>
        <v>6.6016560245029332</v>
      </c>
      <c r="H4" s="7" t="e" cm="1">
        <f t="array" ref="H4">C4*(1-D4)*B4/SUMPRODUCT($I$4:$I$21,(1-$J$4:$J$21))</f>
        <v>#DIV/0!</v>
      </c>
    </row>
    <row r="5" spans="1:8" x14ac:dyDescent="0.25">
      <c r="A5" s="1">
        <v>3</v>
      </c>
      <c r="B5" s="1">
        <v>4</v>
      </c>
      <c r="C5" s="3">
        <v>3.1940371209606417</v>
      </c>
      <c r="D5" s="3">
        <v>1.3857400000000001E-2</v>
      </c>
      <c r="E5" s="6">
        <v>0</v>
      </c>
      <c r="G5">
        <f t="shared" si="0"/>
        <v>12.776148483842567</v>
      </c>
      <c r="H5" s="7" t="e" cm="1">
        <f t="array" ref="H5">C5*(1-D5)*B5/SUMPRODUCT($I$4:$I$21,(1-$J$4:$J$21))</f>
        <v>#DIV/0!</v>
      </c>
    </row>
    <row r="6" spans="1:8" x14ac:dyDescent="0.25">
      <c r="A6" s="1">
        <v>4</v>
      </c>
      <c r="B6" s="1">
        <v>5</v>
      </c>
      <c r="C6" s="3">
        <v>4.2848911111111114</v>
      </c>
      <c r="D6" s="3">
        <v>4.4999999999999997E-3</v>
      </c>
      <c r="E6" s="6">
        <v>0</v>
      </c>
      <c r="G6">
        <f t="shared" si="0"/>
        <v>21.424455555555557</v>
      </c>
      <c r="H6" s="7" t="e" cm="1">
        <f t="array" ref="H6">C6*(1-D6)*B6/SUMPRODUCT($I$4:$I$21,(1-$J$4:$J$21))</f>
        <v>#DIV/0!</v>
      </c>
    </row>
    <row r="7" spans="1:8" x14ac:dyDescent="0.25">
      <c r="A7" s="1">
        <v>5</v>
      </c>
      <c r="B7" s="1">
        <v>10</v>
      </c>
      <c r="C7" s="3">
        <v>6.3816353241682666</v>
      </c>
      <c r="D7" s="3">
        <v>3.1554600000000002E-2</v>
      </c>
      <c r="E7" s="6">
        <v>0.28999999999999998</v>
      </c>
      <c r="G7">
        <f t="shared" si="0"/>
        <v>63.816353241682663</v>
      </c>
      <c r="H7" s="7" t="e" cm="1">
        <f t="array" ref="H7">C7*(1-D7)*B7/SUMPRODUCT($I$4:$I$21,(1-$J$4:$J$21))</f>
        <v>#DIV/0!</v>
      </c>
    </row>
    <row r="8" spans="1:8" x14ac:dyDescent="0.25">
      <c r="A8" s="1">
        <v>10</v>
      </c>
      <c r="B8" s="1">
        <v>15</v>
      </c>
      <c r="C8" s="3">
        <v>11.122689201788903</v>
      </c>
      <c r="D8" s="3">
        <v>1.26558E-2</v>
      </c>
      <c r="E8" s="6">
        <v>0.4</v>
      </c>
      <c r="G8">
        <f t="shared" si="0"/>
        <v>166.84033802683354</v>
      </c>
      <c r="H8" s="7" t="e" cm="1">
        <f t="array" ref="H8">C8*(1-D8)*B8/SUMPRODUCT($I$4:$I$21,(1-$J$4:$J$21))</f>
        <v>#DIV/0!</v>
      </c>
    </row>
    <row r="9" spans="1:8" x14ac:dyDescent="0.25">
      <c r="A9" s="1">
        <v>15</v>
      </c>
      <c r="B9" s="1">
        <v>20</v>
      </c>
      <c r="C9" s="3">
        <v>16.400853961204362</v>
      </c>
      <c r="D9" s="3">
        <v>6.1244000000000003E-3</v>
      </c>
      <c r="E9" s="6">
        <v>0.4</v>
      </c>
      <c r="G9">
        <f t="shared" si="0"/>
        <v>328.01707922408724</v>
      </c>
      <c r="H9" s="7" t="e" cm="1">
        <f t="array" ref="H9">C9*(1-D9)*B9/SUMPRODUCT($I$4:$I$21,(1-$J$4:$J$21))</f>
        <v>#DIV/0!</v>
      </c>
    </row>
    <row r="10" spans="1:8" x14ac:dyDescent="0.25">
      <c r="A10" s="1">
        <v>20</v>
      </c>
      <c r="B10" s="1">
        <v>25</v>
      </c>
      <c r="C10" s="3">
        <v>21.449515850629396</v>
      </c>
      <c r="D10" s="3">
        <v>4.7505999999999998E-3</v>
      </c>
      <c r="E10" s="6">
        <v>0.8</v>
      </c>
      <c r="G10">
        <f t="shared" si="0"/>
        <v>536.23789626573489</v>
      </c>
      <c r="H10" s="7" t="e" cm="1">
        <f t="array" ref="H10">C10*(1-D10)*B10/SUMPRODUCT($I$4:$I$21,(1-$J$4:$J$21))</f>
        <v>#DIV/0!</v>
      </c>
    </row>
    <row r="11" spans="1:8" x14ac:dyDescent="0.25">
      <c r="A11" s="1">
        <v>25</v>
      </c>
      <c r="B11" s="1">
        <v>50</v>
      </c>
      <c r="C11" s="3">
        <v>33.822590945836701</v>
      </c>
      <c r="D11" s="3">
        <v>9.8960000000000003E-3</v>
      </c>
      <c r="E11" s="6">
        <v>0.96</v>
      </c>
      <c r="G11">
        <f t="shared" si="0"/>
        <v>1691.129547291835</v>
      </c>
      <c r="H11" s="7" t="e" cm="1">
        <f t="array" ref="H11">C11*(1-D11)*B11/SUMPRODUCT($I$4:$I$21,(1-$J$4:$J$21))</f>
        <v>#DIV/0!</v>
      </c>
    </row>
    <row r="12" spans="1:8" x14ac:dyDescent="0.25">
      <c r="A12" s="1">
        <v>50</v>
      </c>
      <c r="B12" s="1">
        <v>75</v>
      </c>
      <c r="C12" s="3">
        <v>57.953774868219689</v>
      </c>
      <c r="D12" s="3">
        <v>5.8809999999999999E-3</v>
      </c>
      <c r="E12" s="6">
        <v>0.98499999999999999</v>
      </c>
      <c r="G12">
        <f t="shared" si="0"/>
        <v>4346.5331151164764</v>
      </c>
      <c r="H12" s="7" t="e" cm="1">
        <f t="array" ref="H12">C12*(1-D12)*B12/SUMPRODUCT($I$4:$I$21,(1-$J$4:$J$21))</f>
        <v>#DIV/0!</v>
      </c>
    </row>
    <row r="13" spans="1:8" x14ac:dyDescent="0.25">
      <c r="A13" s="1">
        <v>75</v>
      </c>
      <c r="B13" s="1">
        <v>100</v>
      </c>
      <c r="C13" s="3">
        <v>83.955146191162967</v>
      </c>
      <c r="D13" s="3">
        <v>3.0508000000000002E-3</v>
      </c>
      <c r="E13" s="6">
        <v>0.997</v>
      </c>
      <c r="G13">
        <f t="shared" si="0"/>
        <v>8395.5146191162967</v>
      </c>
      <c r="H13" s="7" t="e" cm="1">
        <f t="array" ref="H13">C13*(1-D13)*B13/SUMPRODUCT($I$4:$I$21,(1-$J$4:$J$21))</f>
        <v>#DIV/0!</v>
      </c>
    </row>
    <row r="14" spans="1:8" x14ac:dyDescent="0.25">
      <c r="A14" s="1">
        <v>100</v>
      </c>
      <c r="B14" s="1">
        <v>150</v>
      </c>
      <c r="C14" s="3">
        <v>117.19662273476111</v>
      </c>
      <c r="D14" s="3">
        <v>3.8847999999999999E-3</v>
      </c>
      <c r="E14" s="6">
        <v>0.998</v>
      </c>
      <c r="G14">
        <f t="shared" si="0"/>
        <v>17579.493410214167</v>
      </c>
      <c r="H14" s="7" t="e" cm="1">
        <f t="array" ref="H14">C14*(1-D14)*B14/SUMPRODUCT($I$4:$I$21,(1-$J$4:$J$21))</f>
        <v>#DIV/0!</v>
      </c>
    </row>
    <row r="15" spans="1:8" x14ac:dyDescent="0.25">
      <c r="A15" s="1">
        <v>150</v>
      </c>
      <c r="B15" s="1">
        <v>250</v>
      </c>
      <c r="C15" s="3">
        <v>186.09571176885129</v>
      </c>
      <c r="D15" s="3">
        <v>2.8379999999999998E-3</v>
      </c>
      <c r="E15" s="6">
        <v>0.99950000000000006</v>
      </c>
      <c r="G15">
        <f t="shared" si="0"/>
        <v>46523.927942212824</v>
      </c>
      <c r="H15" s="7" t="e" cm="1">
        <f t="array" ref="H15">C15*(1-D15)*B15/SUMPRODUCT($I$4:$I$21,(1-$J$4:$J$21))</f>
        <v>#DIV/0!</v>
      </c>
    </row>
    <row r="16" spans="1:8" x14ac:dyDescent="0.25">
      <c r="A16" s="1">
        <v>250</v>
      </c>
      <c r="B16" s="1">
        <v>500</v>
      </c>
      <c r="C16" s="3">
        <v>337.65783120642021</v>
      </c>
      <c r="D16" s="3">
        <v>3.0404E-3</v>
      </c>
      <c r="E16" s="6">
        <v>1</v>
      </c>
      <c r="G16">
        <f t="shared" si="0"/>
        <v>168828.9156032101</v>
      </c>
      <c r="H16" s="7" t="e" cm="1">
        <f t="array" ref="H16">C16*(1-D16)*B16/SUMPRODUCT($I$4:$I$21,(1-$J$4:$J$21))</f>
        <v>#DIV/0!</v>
      </c>
    </row>
    <row r="17" spans="1:8" x14ac:dyDescent="0.25">
      <c r="A17" s="1">
        <v>500</v>
      </c>
      <c r="B17" s="1">
        <v>1000</v>
      </c>
      <c r="C17" s="3">
        <v>500</v>
      </c>
      <c r="D17" s="3">
        <v>2.028E-4</v>
      </c>
      <c r="E17" s="6">
        <v>1</v>
      </c>
      <c r="G17">
        <f t="shared" si="0"/>
        <v>500000</v>
      </c>
      <c r="H17" s="7" t="e" cm="1">
        <f t="array" ref="H17">C17*(1-D17)*B17/SUMPRODUCT($I$4:$I$21,(1-$J$4:$J$21))</f>
        <v>#DIV/0!</v>
      </c>
    </row>
    <row r="18" spans="1:8" x14ac:dyDescent="0.25">
      <c r="A18" s="1">
        <v>1000</v>
      </c>
      <c r="B18" s="1">
        <v>9999999</v>
      </c>
      <c r="C18" s="4">
        <v>0</v>
      </c>
      <c r="D18" s="3">
        <v>0</v>
      </c>
      <c r="E18" s="6">
        <v>0</v>
      </c>
      <c r="G18">
        <f t="shared" si="0"/>
        <v>0</v>
      </c>
      <c r="H18" s="7" t="e" cm="1">
        <f t="array" ref="H18">C18*(1-D18)*B18/SUMPRODUCT($I$4:$I$21,(1-$J$4:$J$21))</f>
        <v>#DIV/0!</v>
      </c>
    </row>
    <row r="19" spans="1:8" x14ac:dyDescent="0.25">
      <c r="G19">
        <f>SUM(G1:G18)</f>
        <v>748504.13557959686</v>
      </c>
      <c r="H19" s="7" t="e">
        <f>SUM(H1:H18)</f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工作表5</vt:lpstr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OLD_RD2金淳羚</dc:creator>
  <cp:lastModifiedBy>OLD_RD2游元為</cp:lastModifiedBy>
  <dcterms:created xsi:type="dcterms:W3CDTF">2015-06-05T18:19:34Z</dcterms:created>
  <dcterms:modified xsi:type="dcterms:W3CDTF">2026-03-09T09:35:17Z</dcterms:modified>
</cp:coreProperties>
</file>