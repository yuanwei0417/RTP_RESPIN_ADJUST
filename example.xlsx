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tmd\android\_RTP_RESPIN_ADJUST\"/>
    </mc:Choice>
  </mc:AlternateContent>
  <xr:revisionPtr revIDLastSave="0" documentId="13_ncr:1_{F897596E-E6C6-4561-B4B4-5F716BF24954}" xr6:coauthVersionLast="47" xr6:coauthVersionMax="47" xr10:uidLastSave="{00000000-0000-0000-0000-000000000000}"/>
  <bookViews>
    <workbookView xWindow="-23565" yWindow="2625" windowWidth="21600" windowHeight="11295" xr2:uid="{00000000-000D-0000-FFFF-FFFF00000000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 a="1"/>
  <c r="G2" i="1" s="1"/>
  <c r="G3" i="1" a="1"/>
  <c r="G3" i="1" s="1"/>
  <c r="G4" i="1" a="1"/>
  <c r="G4" i="1"/>
  <c r="G5" i="1" a="1"/>
  <c r="G5" i="1" s="1"/>
  <c r="G6" i="1" a="1"/>
  <c r="G6" i="1" s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12" i="1" a="1"/>
  <c r="G12" i="1" s="1"/>
  <c r="G13" i="1" a="1"/>
  <c r="G13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" i="1" a="1"/>
  <c r="G1" i="1" s="1"/>
  <c r="F18" i="1"/>
  <c r="D18" i="1"/>
  <c r="F17" i="1"/>
  <c r="E17" i="1"/>
  <c r="D17" i="1"/>
  <c r="F16" i="1"/>
  <c r="E16" i="1"/>
  <c r="D16" i="1"/>
  <c r="F15" i="1"/>
  <c r="E15" i="1"/>
  <c r="D15" i="1"/>
  <c r="F14" i="1"/>
  <c r="E14" i="1"/>
  <c r="D14" i="1"/>
  <c r="F13" i="1"/>
  <c r="E13" i="1"/>
  <c r="D13" i="1"/>
  <c r="F12" i="1"/>
  <c r="E12" i="1"/>
  <c r="D12" i="1"/>
  <c r="F11" i="1"/>
  <c r="E11" i="1"/>
  <c r="D11" i="1"/>
  <c r="F10" i="1"/>
  <c r="E10" i="1"/>
  <c r="D10" i="1"/>
  <c r="F9" i="1"/>
  <c r="E9" i="1"/>
  <c r="D9" i="1"/>
  <c r="F8" i="1"/>
  <c r="E8" i="1"/>
  <c r="D8" i="1"/>
  <c r="F7" i="1"/>
  <c r="E7" i="1"/>
  <c r="D7" i="1"/>
  <c r="F6" i="1"/>
  <c r="E6" i="1"/>
  <c r="D6" i="1"/>
  <c r="F5" i="1"/>
  <c r="E5" i="1"/>
  <c r="D5" i="1"/>
  <c r="F4" i="1"/>
  <c r="E4" i="1"/>
  <c r="D4" i="1"/>
  <c r="F3" i="1"/>
  <c r="E3" i="1"/>
  <c r="D3" i="1"/>
  <c r="F2" i="1"/>
  <c r="E2" i="1"/>
  <c r="D2" i="1"/>
  <c r="F1" i="1"/>
  <c r="F19" i="1" s="1"/>
  <c r="E1" i="1"/>
  <c r="E19" i="1" s="1"/>
  <c r="D1" i="1"/>
  <c r="D19" i="1" s="1"/>
  <c r="G19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3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4" borderId="0" xfId="0" applyFill="1"/>
    <xf numFmtId="0" fontId="0" fillId="0" borderId="0" xfId="0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tabSelected="1" workbookViewId="0">
      <selection activeCell="I10" sqref="I10"/>
    </sheetView>
  </sheetViews>
  <sheetFormatPr defaultRowHeight="15.75" x14ac:dyDescent="0.25"/>
  <sheetData>
    <row r="1" spans="1:7" x14ac:dyDescent="0.25">
      <c r="A1" s="1">
        <v>0</v>
      </c>
      <c r="B1" s="1">
        <v>0.67960259999999995</v>
      </c>
      <c r="C1" s="2">
        <v>0</v>
      </c>
      <c r="D1" s="4">
        <f>B1*(1-C1)</f>
        <v>0.67960259999999995</v>
      </c>
      <c r="E1" s="4">
        <f>B1*C1</f>
        <v>0</v>
      </c>
      <c r="F1">
        <f>B1*A1</f>
        <v>0</v>
      </c>
      <c r="G1" s="5" cm="1">
        <f t="array" ref="G1">B1*(1-C1)*A1/SUMPRODUCT($B$1:$B$18,(1-$C$1:$C$18))</f>
        <v>0</v>
      </c>
    </row>
    <row r="2" spans="1:7" x14ac:dyDescent="0.25">
      <c r="A2" s="1">
        <v>0.37192175763393365</v>
      </c>
      <c r="B2" s="1">
        <v>0.14897299999999999</v>
      </c>
      <c r="C2" s="2">
        <v>0</v>
      </c>
      <c r="D2" s="4">
        <f t="shared" ref="D2:D18" si="0">B2*(1-C2)</f>
        <v>0.14897299999999999</v>
      </c>
      <c r="E2" s="4">
        <f t="shared" ref="E2:E17" si="1">B2*C2</f>
        <v>0</v>
      </c>
      <c r="F2">
        <f t="shared" ref="F2:F18" si="2">B2*A2</f>
        <v>5.5406299999999992E-2</v>
      </c>
      <c r="G2" s="5" cm="1">
        <f t="array" ref="G2">B2*(1-C2)*A2/SUMPRODUCT($B$1:$B$18,(1-$C$1:$C$18))</f>
        <v>5.8246075652742146E-2</v>
      </c>
    </row>
    <row r="3" spans="1:7" x14ac:dyDescent="0.25">
      <c r="A3" s="1">
        <v>1.2677469276483433</v>
      </c>
      <c r="B3" s="1">
        <v>4.6072200000000001E-2</v>
      </c>
      <c r="C3" s="2">
        <v>0</v>
      </c>
      <c r="D3" s="4">
        <f t="shared" si="0"/>
        <v>4.6072200000000001E-2</v>
      </c>
      <c r="E3" s="4">
        <f t="shared" si="1"/>
        <v>0</v>
      </c>
      <c r="F3">
        <f t="shared" si="2"/>
        <v>5.8407890000000004E-2</v>
      </c>
      <c r="G3" s="5" cm="1">
        <f t="array" ref="G3">B3*(1-C3)*A3/SUMPRODUCT($B$1:$B$18,(1-$C$1:$C$18))</f>
        <v>6.1401508125556885E-2</v>
      </c>
    </row>
    <row r="4" spans="1:7" x14ac:dyDescent="0.25">
      <c r="A4" s="1">
        <v>2.2005520081676444</v>
      </c>
      <c r="B4" s="1">
        <v>2.31156E-2</v>
      </c>
      <c r="C4" s="2">
        <v>0</v>
      </c>
      <c r="D4" s="4">
        <f t="shared" si="0"/>
        <v>2.31156E-2</v>
      </c>
      <c r="E4" s="4">
        <f t="shared" si="1"/>
        <v>0</v>
      </c>
      <c r="F4">
        <f t="shared" si="2"/>
        <v>5.0867080000000002E-2</v>
      </c>
      <c r="G4" s="5" cm="1">
        <f t="array" ref="G4">B4*(1-C4)*A4/SUMPRODUCT($B$1:$B$18,(1-$C$1:$C$18))</f>
        <v>5.3474204014960169E-2</v>
      </c>
    </row>
    <row r="5" spans="1:7" x14ac:dyDescent="0.25">
      <c r="A5" s="1">
        <v>3.1940371209606417</v>
      </c>
      <c r="B5" s="1">
        <v>1.3857400000000001E-2</v>
      </c>
      <c r="C5" s="2">
        <v>0</v>
      </c>
      <c r="D5" s="4">
        <f t="shared" si="0"/>
        <v>1.3857400000000001E-2</v>
      </c>
      <c r="E5" s="4">
        <f t="shared" si="1"/>
        <v>0</v>
      </c>
      <c r="F5">
        <f t="shared" si="2"/>
        <v>4.4261049999999996E-2</v>
      </c>
      <c r="G5" s="5" cm="1">
        <f t="array" ref="G5">B5*(1-C5)*A5/SUMPRODUCT($B$1:$B$18,(1-$C$1:$C$18))</f>
        <v>4.6529590800501085E-2</v>
      </c>
    </row>
    <row r="6" spans="1:7" x14ac:dyDescent="0.25">
      <c r="A6" s="1">
        <v>4.2848911111111114</v>
      </c>
      <c r="B6" s="1">
        <v>4.4999999999999997E-3</v>
      </c>
      <c r="C6" s="2">
        <v>0</v>
      </c>
      <c r="D6" s="4">
        <f t="shared" si="0"/>
        <v>4.4999999999999997E-3</v>
      </c>
      <c r="E6" s="4">
        <f t="shared" si="1"/>
        <v>0</v>
      </c>
      <c r="F6">
        <f t="shared" si="2"/>
        <v>1.9282009999999999E-2</v>
      </c>
      <c r="G6" s="5" cm="1">
        <f t="array" ref="G6">B6*(1-C6)*A6/SUMPRODUCT($B$1:$B$18,(1-$C$1:$C$18))</f>
        <v>2.0270283581414583E-2</v>
      </c>
    </row>
    <row r="7" spans="1:7" x14ac:dyDescent="0.25">
      <c r="A7" s="1">
        <v>6.3816353241682666</v>
      </c>
      <c r="B7" s="1">
        <v>3.1554600000000002E-2</v>
      </c>
      <c r="C7" s="2">
        <v>0.28999999999999998</v>
      </c>
      <c r="D7" s="4">
        <f t="shared" si="0"/>
        <v>2.2403766000000002E-2</v>
      </c>
      <c r="E7" s="4">
        <f t="shared" si="1"/>
        <v>9.1508340000000001E-3</v>
      </c>
      <c r="F7">
        <f t="shared" si="2"/>
        <v>0.20136994999999999</v>
      </c>
      <c r="G7" s="5" cm="1">
        <f t="array" ref="G7">B7*(1-C7)*A7/SUMPRODUCT($B$1:$B$18,(1-$C$1:$C$18))</f>
        <v>0.1503005368115381</v>
      </c>
    </row>
    <row r="8" spans="1:7" x14ac:dyDescent="0.25">
      <c r="A8" s="1">
        <v>11.122689201788903</v>
      </c>
      <c r="B8" s="1">
        <v>1.26558E-2</v>
      </c>
      <c r="C8" s="2">
        <v>0.4</v>
      </c>
      <c r="D8" s="4">
        <f t="shared" si="0"/>
        <v>7.5934799999999997E-3</v>
      </c>
      <c r="E8" s="4">
        <f t="shared" si="1"/>
        <v>5.0623200000000004E-3</v>
      </c>
      <c r="F8">
        <f t="shared" si="2"/>
        <v>0.14076653</v>
      </c>
      <c r="G8" s="5" cm="1">
        <f t="array" ref="G8">B8*(1-C8)*A8/SUMPRODUCT($B$1:$B$18,(1-$C$1:$C$18))</f>
        <v>8.8788797906599048E-2</v>
      </c>
    </row>
    <row r="9" spans="1:7" x14ac:dyDescent="0.25">
      <c r="A9" s="1">
        <v>16.400853961204362</v>
      </c>
      <c r="B9" s="1">
        <v>6.1244000000000003E-3</v>
      </c>
      <c r="C9" s="2">
        <v>0.4</v>
      </c>
      <c r="D9" s="4">
        <f t="shared" si="0"/>
        <v>3.6746399999999999E-3</v>
      </c>
      <c r="E9" s="4">
        <f t="shared" si="1"/>
        <v>2.4497600000000005E-3</v>
      </c>
      <c r="F9">
        <f t="shared" si="2"/>
        <v>0.10044539</v>
      </c>
      <c r="G9" s="5" cm="1">
        <f t="array" ref="G9">B9*(1-C9)*A9/SUMPRODUCT($B$1:$B$18,(1-$C$1:$C$18))</f>
        <v>6.3356150310443296E-2</v>
      </c>
    </row>
    <row r="10" spans="1:7" x14ac:dyDescent="0.25">
      <c r="A10" s="1">
        <v>21.449515850629396</v>
      </c>
      <c r="B10" s="1">
        <v>4.7505999999999998E-3</v>
      </c>
      <c r="C10" s="2">
        <v>0.8</v>
      </c>
      <c r="D10" s="4">
        <f t="shared" si="0"/>
        <v>9.5011999999999972E-4</v>
      </c>
      <c r="E10" s="4">
        <f t="shared" si="1"/>
        <v>3.8004800000000002E-3</v>
      </c>
      <c r="F10">
        <f t="shared" si="2"/>
        <v>0.10189807000000001</v>
      </c>
      <c r="G10" s="5" cm="1">
        <f t="array" ref="G10">B10*(1-C10)*A10/SUMPRODUCT($B$1:$B$18,(1-$C$1:$C$18))</f>
        <v>2.1424143803460673E-2</v>
      </c>
    </row>
    <row r="11" spans="1:7" x14ac:dyDescent="0.25">
      <c r="A11" s="1">
        <v>33.822590945836701</v>
      </c>
      <c r="B11" s="1">
        <v>9.8960000000000003E-3</v>
      </c>
      <c r="C11" s="2">
        <v>0.96</v>
      </c>
      <c r="D11" s="4">
        <f t="shared" si="0"/>
        <v>3.9584000000000038E-4</v>
      </c>
      <c r="E11" s="4">
        <f t="shared" si="1"/>
        <v>9.5001600000000005E-3</v>
      </c>
      <c r="F11">
        <f t="shared" si="2"/>
        <v>0.33470835999999998</v>
      </c>
      <c r="G11" s="5" cm="1">
        <f t="array" ref="G11">B11*(1-C11)*A11/SUMPRODUCT($B$1:$B$18,(1-$C$1:$C$18))</f>
        <v>1.4074535537052844E-2</v>
      </c>
    </row>
    <row r="12" spans="1:7" x14ac:dyDescent="0.25">
      <c r="A12" s="1">
        <v>57.953774868219689</v>
      </c>
      <c r="B12" s="1">
        <v>5.8809999999999999E-3</v>
      </c>
      <c r="C12" s="2">
        <v>0.98499999999999999</v>
      </c>
      <c r="D12" s="4">
        <f t="shared" si="0"/>
        <v>8.8215000000000076E-5</v>
      </c>
      <c r="E12" s="4">
        <f t="shared" si="1"/>
        <v>5.7927849999999999E-3</v>
      </c>
      <c r="F12">
        <f t="shared" si="2"/>
        <v>0.34082614999999999</v>
      </c>
      <c r="G12" s="5" cm="1">
        <f t="array" ref="G12">B12*(1-C12)*A12/SUMPRODUCT($B$1:$B$18,(1-$C$1:$C$18))</f>
        <v>5.3744210633085579E-3</v>
      </c>
    </row>
    <row r="13" spans="1:7" x14ac:dyDescent="0.25">
      <c r="A13" s="1">
        <v>83.955146191162967</v>
      </c>
      <c r="B13" s="1">
        <v>3.0508000000000002E-3</v>
      </c>
      <c r="C13" s="2">
        <v>0.997</v>
      </c>
      <c r="D13" s="4">
        <f t="shared" si="0"/>
        <v>9.1524000000000091E-6</v>
      </c>
      <c r="E13" s="4">
        <f t="shared" si="1"/>
        <v>3.0416476000000004E-3</v>
      </c>
      <c r="F13">
        <f t="shared" si="2"/>
        <v>0.25613036</v>
      </c>
      <c r="G13" s="5" cm="1">
        <f t="array" ref="G13">B13*(1-C13)*A13/SUMPRODUCT($B$1:$B$18,(1-$C$1:$C$18))</f>
        <v>8.0777393503215871E-4</v>
      </c>
    </row>
    <row r="14" spans="1:7" x14ac:dyDescent="0.25">
      <c r="A14" s="1">
        <v>117.19662273476111</v>
      </c>
      <c r="B14" s="1">
        <v>3.8847999999999999E-3</v>
      </c>
      <c r="C14" s="2">
        <v>0.998</v>
      </c>
      <c r="D14" s="4">
        <f t="shared" si="0"/>
        <v>7.769600000000006E-6</v>
      </c>
      <c r="E14" s="4">
        <f t="shared" si="1"/>
        <v>3.8770303999999998E-3</v>
      </c>
      <c r="F14">
        <f t="shared" si="2"/>
        <v>0.45528543999999993</v>
      </c>
      <c r="G14" s="5" cm="1">
        <f t="array" ref="G14">B14*(1-C14)*A14/SUMPRODUCT($B$1:$B$18,(1-$C$1:$C$18))</f>
        <v>9.5724097013632082E-4</v>
      </c>
    </row>
    <row r="15" spans="1:7" x14ac:dyDescent="0.25">
      <c r="A15" s="1">
        <v>186.09571176885129</v>
      </c>
      <c r="B15" s="1">
        <v>2.8379999999999998E-3</v>
      </c>
      <c r="C15" s="2">
        <v>0.99950000000000006</v>
      </c>
      <c r="D15" s="4">
        <f t="shared" si="0"/>
        <v>1.4189999999998436E-6</v>
      </c>
      <c r="E15" s="4">
        <f t="shared" si="1"/>
        <v>2.8365809999999999E-3</v>
      </c>
      <c r="F15">
        <f t="shared" si="2"/>
        <v>0.52813962999999997</v>
      </c>
      <c r="G15" s="5" cm="1">
        <f t="array" ref="G15">B15*(1-C15)*A15/SUMPRODUCT($B$1:$B$18,(1-$C$1:$C$18))</f>
        <v>2.7760435946984238E-4</v>
      </c>
    </row>
    <row r="16" spans="1:7" x14ac:dyDescent="0.25">
      <c r="A16" s="1">
        <v>337.65783120642021</v>
      </c>
      <c r="B16" s="1">
        <v>3.0404E-3</v>
      </c>
      <c r="C16" s="2">
        <v>1</v>
      </c>
      <c r="D16" s="4">
        <f t="shared" si="0"/>
        <v>0</v>
      </c>
      <c r="E16" s="4">
        <f t="shared" si="1"/>
        <v>3.0404E-3</v>
      </c>
      <c r="F16">
        <f t="shared" si="2"/>
        <v>1.02661487</v>
      </c>
      <c r="G16" s="5" cm="1">
        <f t="array" ref="G16">B16*(1-C16)*A16/SUMPRODUCT($B$1:$B$18,(1-$C$1:$C$18))</f>
        <v>0</v>
      </c>
    </row>
    <row r="17" spans="1:7" x14ac:dyDescent="0.25">
      <c r="A17" s="1">
        <v>500</v>
      </c>
      <c r="B17" s="1">
        <v>2.028E-4</v>
      </c>
      <c r="C17" s="2">
        <v>1</v>
      </c>
      <c r="D17" s="4">
        <f t="shared" si="0"/>
        <v>0</v>
      </c>
      <c r="E17" s="4">
        <f t="shared" si="1"/>
        <v>2.028E-4</v>
      </c>
      <c r="F17">
        <f t="shared" si="2"/>
        <v>0.1014</v>
      </c>
      <c r="G17" s="5" cm="1">
        <f t="array" ref="G17">B17*(1-C17)*A17/SUMPRODUCT($B$1:$B$18,(1-$C$1:$C$18))</f>
        <v>0</v>
      </c>
    </row>
    <row r="18" spans="1:7" x14ac:dyDescent="0.25">
      <c r="A18" s="3">
        <v>0</v>
      </c>
      <c r="B18" s="1">
        <v>0</v>
      </c>
      <c r="C18" s="2">
        <v>0</v>
      </c>
      <c r="D18" s="4">
        <f t="shared" si="0"/>
        <v>0</v>
      </c>
      <c r="E18" s="4">
        <v>0</v>
      </c>
      <c r="F18">
        <f t="shared" si="2"/>
        <v>0</v>
      </c>
      <c r="G18" s="5" cm="1">
        <f t="array" ref="G18">B18*(1-C18)*A18/SUMPRODUCT($B$1:$B$18,(1-$C$1:$C$18))</f>
        <v>0</v>
      </c>
    </row>
    <row r="19" spans="1:7" x14ac:dyDescent="0.25">
      <c r="A19" s="6"/>
      <c r="B19" s="6"/>
      <c r="D19">
        <f t="shared" ref="D19:E19" si="3">SUM(D1:D18)</f>
        <v>0.95124520200000007</v>
      </c>
      <c r="E19">
        <f t="shared" si="3"/>
        <v>4.8754798000000009E-2</v>
      </c>
      <c r="F19">
        <f>SUM(F1:F18)</f>
        <v>3.8158090799999997</v>
      </c>
      <c r="G19" s="5">
        <f>SUM(G1:G18)</f>
        <v>0.58528286687221576</v>
      </c>
    </row>
  </sheetData>
  <mergeCells count="1">
    <mergeCell ref="A19:B19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OLD_RD2游元為</dc:creator>
  <cp:lastModifiedBy>OLD_RD2游元為</cp:lastModifiedBy>
  <dcterms:created xsi:type="dcterms:W3CDTF">2015-06-05T18:19:34Z</dcterms:created>
  <dcterms:modified xsi:type="dcterms:W3CDTF">2026-03-12T09:01:59Z</dcterms:modified>
</cp:coreProperties>
</file>